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ba518e9f36d98b/Documents/GitHub/TTL-6510-Computer/KiCAD/"/>
    </mc:Choice>
  </mc:AlternateContent>
  <xr:revisionPtr revIDLastSave="9" documentId="8_{139AC9BC-7F38-4BDF-AE2E-2D5D339C1B4F}" xr6:coauthVersionLast="47" xr6:coauthVersionMax="47" xr10:uidLastSave="{81C59AB3-8850-4580-9482-205D4BBEC486}"/>
  <bookViews>
    <workbookView xWindow="-14250" yWindow="-16320" windowWidth="29040" windowHeight="15720" xr2:uid="{2716216F-8A2B-47AA-BA04-6D839DAFDA32}"/>
  </bookViews>
  <sheets>
    <sheet name="TTL 6510 Computer_BOM" sheetId="1" r:id="rId1"/>
  </sheets>
  <calcPr calcId="191029"/>
</workbook>
</file>

<file path=xl/calcChain.xml><?xml version="1.0" encoding="utf-8"?>
<calcChain xmlns="http://schemas.openxmlformats.org/spreadsheetml/2006/main">
  <c r="O50" i="1" l="1"/>
  <c r="P50" i="1"/>
  <c r="Q50" i="1"/>
  <c r="R50" i="1"/>
  <c r="S50" i="1"/>
  <c r="T50" i="1"/>
  <c r="U50" i="1"/>
  <c r="V50" i="1"/>
  <c r="O51" i="1"/>
  <c r="P51" i="1"/>
  <c r="Q51" i="1"/>
  <c r="R51" i="1"/>
  <c r="S51" i="1"/>
  <c r="T51" i="1"/>
  <c r="U51" i="1"/>
  <c r="V51" i="1"/>
  <c r="O52" i="1"/>
  <c r="P52" i="1"/>
  <c r="Q52" i="1"/>
  <c r="R52" i="1"/>
  <c r="S52" i="1"/>
  <c r="T52" i="1"/>
  <c r="U52" i="1"/>
  <c r="V52" i="1"/>
  <c r="O53" i="1"/>
  <c r="P53" i="1"/>
  <c r="Q53" i="1"/>
  <c r="R53" i="1"/>
  <c r="S53" i="1"/>
  <c r="T53" i="1"/>
  <c r="U53" i="1"/>
  <c r="V53" i="1"/>
  <c r="O54" i="1"/>
  <c r="P54" i="1"/>
  <c r="Q54" i="1"/>
  <c r="R54" i="1"/>
  <c r="S54" i="1"/>
  <c r="T54" i="1"/>
  <c r="U54" i="1"/>
  <c r="V54" i="1"/>
  <c r="O55" i="1"/>
  <c r="P55" i="1"/>
  <c r="Q55" i="1"/>
  <c r="R55" i="1"/>
  <c r="S55" i="1"/>
  <c r="T55" i="1"/>
  <c r="U55" i="1"/>
  <c r="V55" i="1"/>
  <c r="O56" i="1"/>
  <c r="P56" i="1"/>
  <c r="Q56" i="1"/>
  <c r="R56" i="1"/>
  <c r="S56" i="1"/>
  <c r="T56" i="1"/>
  <c r="U56" i="1"/>
  <c r="V56" i="1"/>
  <c r="O57" i="1"/>
  <c r="P57" i="1"/>
  <c r="Q57" i="1"/>
  <c r="R57" i="1"/>
  <c r="S57" i="1"/>
  <c r="T57" i="1"/>
  <c r="U57" i="1"/>
  <c r="V57" i="1"/>
  <c r="O58" i="1"/>
  <c r="P58" i="1"/>
  <c r="Q58" i="1"/>
  <c r="R58" i="1"/>
  <c r="S58" i="1"/>
  <c r="T58" i="1"/>
  <c r="U58" i="1"/>
  <c r="V58" i="1"/>
  <c r="O59" i="1"/>
  <c r="P59" i="1"/>
  <c r="Q59" i="1"/>
  <c r="R59" i="1"/>
  <c r="S59" i="1"/>
  <c r="T59" i="1"/>
  <c r="U59" i="1"/>
  <c r="V59" i="1"/>
  <c r="O60" i="1"/>
  <c r="P60" i="1"/>
  <c r="Q60" i="1"/>
  <c r="R60" i="1"/>
  <c r="S60" i="1"/>
  <c r="T60" i="1"/>
  <c r="U60" i="1"/>
  <c r="V60" i="1"/>
  <c r="O61" i="1"/>
  <c r="P61" i="1"/>
  <c r="Q61" i="1"/>
  <c r="R61" i="1"/>
  <c r="S61" i="1"/>
  <c r="T61" i="1"/>
  <c r="U61" i="1"/>
  <c r="V61" i="1"/>
  <c r="O62" i="1"/>
  <c r="P62" i="1"/>
  <c r="Q62" i="1"/>
  <c r="R62" i="1"/>
  <c r="S62" i="1"/>
  <c r="T62" i="1"/>
  <c r="U62" i="1"/>
  <c r="V62" i="1"/>
  <c r="O63" i="1"/>
  <c r="P63" i="1"/>
  <c r="Q63" i="1"/>
  <c r="R63" i="1"/>
  <c r="S63" i="1"/>
  <c r="T63" i="1"/>
  <c r="U63" i="1"/>
  <c r="V63" i="1"/>
  <c r="O64" i="1"/>
  <c r="P64" i="1"/>
  <c r="Q64" i="1"/>
  <c r="R64" i="1"/>
  <c r="S64" i="1"/>
  <c r="T64" i="1"/>
  <c r="U64" i="1"/>
  <c r="V64" i="1"/>
  <c r="O65" i="1"/>
  <c r="P65" i="1"/>
  <c r="Q65" i="1"/>
  <c r="R65" i="1"/>
  <c r="S65" i="1"/>
  <c r="T65" i="1"/>
  <c r="U65" i="1"/>
  <c r="V65" i="1"/>
  <c r="O66" i="1"/>
  <c r="P66" i="1"/>
  <c r="Q66" i="1"/>
  <c r="R66" i="1"/>
  <c r="S66" i="1"/>
  <c r="T66" i="1"/>
  <c r="U66" i="1"/>
  <c r="V66" i="1"/>
  <c r="O67" i="1"/>
  <c r="P67" i="1"/>
  <c r="Q67" i="1"/>
  <c r="R67" i="1"/>
  <c r="S67" i="1"/>
  <c r="T67" i="1"/>
  <c r="U67" i="1"/>
  <c r="V67" i="1"/>
  <c r="O68" i="1"/>
  <c r="P68" i="1"/>
  <c r="Q68" i="1"/>
  <c r="R68" i="1"/>
  <c r="S68" i="1"/>
  <c r="T68" i="1"/>
  <c r="U68" i="1"/>
  <c r="V68" i="1"/>
  <c r="O69" i="1"/>
  <c r="P69" i="1"/>
  <c r="Q69" i="1"/>
  <c r="R69" i="1"/>
  <c r="S69" i="1"/>
  <c r="T69" i="1"/>
  <c r="U69" i="1"/>
  <c r="V69" i="1"/>
  <c r="O70" i="1"/>
  <c r="P70" i="1"/>
  <c r="Q70" i="1"/>
  <c r="R70" i="1"/>
  <c r="S70" i="1"/>
  <c r="T70" i="1"/>
  <c r="U70" i="1"/>
  <c r="V70" i="1"/>
  <c r="O71" i="1"/>
  <c r="P71" i="1"/>
  <c r="Q71" i="1"/>
  <c r="R71" i="1"/>
  <c r="S71" i="1"/>
  <c r="T71" i="1"/>
  <c r="U71" i="1"/>
  <c r="V71" i="1"/>
  <c r="O72" i="1"/>
  <c r="P72" i="1"/>
  <c r="Q72" i="1"/>
  <c r="R72" i="1"/>
  <c r="S72" i="1"/>
  <c r="T72" i="1"/>
  <c r="U72" i="1"/>
  <c r="V72" i="1"/>
  <c r="O73" i="1"/>
  <c r="P73" i="1"/>
  <c r="Q73" i="1"/>
  <c r="R73" i="1"/>
  <c r="S73" i="1"/>
  <c r="T73" i="1"/>
  <c r="U73" i="1"/>
  <c r="V73" i="1"/>
  <c r="O74" i="1"/>
  <c r="P74" i="1"/>
  <c r="Q74" i="1"/>
  <c r="R74" i="1"/>
  <c r="S74" i="1"/>
  <c r="T74" i="1"/>
  <c r="U74" i="1"/>
  <c r="V74" i="1"/>
  <c r="O75" i="1"/>
  <c r="P75" i="1"/>
  <c r="Q75" i="1"/>
  <c r="R75" i="1"/>
  <c r="S75" i="1"/>
  <c r="T75" i="1"/>
  <c r="U75" i="1"/>
  <c r="V75" i="1"/>
  <c r="O76" i="1"/>
  <c r="P76" i="1"/>
  <c r="Q76" i="1"/>
  <c r="R76" i="1"/>
  <c r="S76" i="1"/>
  <c r="T76" i="1"/>
  <c r="U76" i="1"/>
  <c r="V76" i="1"/>
  <c r="O77" i="1"/>
  <c r="P77" i="1"/>
  <c r="Q77" i="1"/>
  <c r="R77" i="1"/>
  <c r="S77" i="1"/>
  <c r="T77" i="1"/>
  <c r="U77" i="1"/>
  <c r="V77" i="1"/>
  <c r="O78" i="1"/>
  <c r="P78" i="1"/>
  <c r="Q78" i="1"/>
  <c r="R78" i="1"/>
  <c r="S78" i="1"/>
  <c r="T78" i="1"/>
  <c r="U78" i="1"/>
  <c r="V78" i="1"/>
  <c r="O79" i="1"/>
  <c r="P79" i="1"/>
  <c r="Q79" i="1"/>
  <c r="R79" i="1"/>
  <c r="S79" i="1"/>
  <c r="T79" i="1"/>
  <c r="U79" i="1"/>
  <c r="V79" i="1"/>
  <c r="O80" i="1"/>
  <c r="P80" i="1"/>
  <c r="Q80" i="1"/>
  <c r="R80" i="1"/>
  <c r="S80" i="1"/>
  <c r="T80" i="1"/>
  <c r="U80" i="1"/>
  <c r="V80" i="1"/>
  <c r="O81" i="1"/>
  <c r="P81" i="1"/>
  <c r="Q81" i="1"/>
  <c r="R81" i="1"/>
  <c r="S81" i="1"/>
  <c r="T81" i="1"/>
  <c r="U81" i="1"/>
  <c r="V81" i="1"/>
  <c r="O82" i="1"/>
  <c r="P82" i="1"/>
  <c r="Q82" i="1"/>
  <c r="R82" i="1"/>
  <c r="S82" i="1"/>
  <c r="T82" i="1"/>
  <c r="U82" i="1"/>
  <c r="V82" i="1"/>
  <c r="O83" i="1"/>
  <c r="P83" i="1"/>
  <c r="Q83" i="1"/>
  <c r="R83" i="1"/>
  <c r="S83" i="1"/>
  <c r="T83" i="1"/>
  <c r="U83" i="1"/>
  <c r="V83" i="1"/>
  <c r="P49" i="1"/>
  <c r="B89" i="1" s="1"/>
  <c r="Q49" i="1"/>
  <c r="B90" i="1" s="1"/>
  <c r="R49" i="1"/>
  <c r="B91" i="1" s="1"/>
  <c r="S49" i="1"/>
  <c r="B92" i="1" s="1"/>
  <c r="T49" i="1"/>
  <c r="B93" i="1" s="1"/>
  <c r="U49" i="1"/>
  <c r="B94" i="1" s="1"/>
  <c r="V49" i="1"/>
  <c r="B95" i="1" s="1"/>
  <c r="O49" i="1"/>
  <c r="B88" i="1" s="1"/>
</calcChain>
</file>

<file path=xl/sharedStrings.xml><?xml version="1.0" encoding="utf-8"?>
<sst xmlns="http://schemas.openxmlformats.org/spreadsheetml/2006/main" count="457" uniqueCount="304">
  <si>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</si>
  <si>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</si>
  <si>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</si>
  <si>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</si>
  <si>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</si>
  <si>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</si>
  <si>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</si>
  <si>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</si>
  <si>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OrderInfo</t>
  </si>
  <si>
    <t>BinaryFile</t>
  </si>
  <si>
    <t>C1</t>
  </si>
  <si>
    <t>0.01u</t>
  </si>
  <si>
    <t>Capacitor_THT:C_Disc_D4.3mm_W1.9mm_P5.00mm</t>
  </si>
  <si>
    <t>https://www.digikey.com/en/products/detail/lumimax-optoelectronic-technology/MC2-0603B103M500BF3/16735090</t>
  </si>
  <si>
    <t>C2,C5,C160,C161</t>
  </si>
  <si>
    <t>47p</t>
  </si>
  <si>
    <t>Capacitor_THT:C_Disc_D5.0mm_W2.5mm_P5.00mm</t>
  </si>
  <si>
    <t>~</t>
  </si>
  <si>
    <t>https://www.digikey.com/en/products/detail/tdk-corporation/FG28C0G1H470JNT00/7326839</t>
  </si>
  <si>
    <t>C3,C4</t>
  </si>
  <si>
    <t>0.1u</t>
  </si>
  <si>
    <t>Capacitor_THT:C_Disc_D7.5mm_W2.5mm_P5.00mm</t>
  </si>
  <si>
    <t>https://www.digikey.com/en/products/detail/kemet/C320C104M5R5TA/3726028</t>
  </si>
  <si>
    <t>C6,C7,C8,C9,C10,C26,C29,C30,C31,C38,C40,C42,C43,C50,C51,C56,C58,C61,C64,C65,C68,C82,C83,C84,C85,C87,C90,C93,C101,C102,C105,C107,C110,C114,C115,C117,C123,C124,C125,C127,C139,C141,C144,C149,C150,C154,C155,C157,C159,C163</t>
  </si>
  <si>
    <t>4.7u</t>
  </si>
  <si>
    <t>Project Library:C_Disc_D7.5mm_W2.5mm_P7.62mm</t>
  </si>
  <si>
    <t>https://www.digikey.com/en/products/detail/kyocera-avx/TAP475M010SCS/1472017</t>
  </si>
  <si>
    <t>C11,C12,C13,C14,C15,C16,C17,C18,C19,C20,C21,C22,C23,C24,C25,C27,C28,C32,C33,C34,C35,C36,C37,C39,C41,C44,C45,C46,C47,C48,C49,C52,C53,C54,C55,C57,C59,C60,C62,C63,C66,C67,C69,C70,C71,C72,C73,C74,C75,C76,C77,C78,C79,C80,C81,C86,C88,C89,C91,C92,C94,C95,C96,C97,C98,C99,C100,C103,C104,C106,C108,C109,C111,C112,C113,C116,C118,C119,C120,C121,C126,C128,C129,C130,C131,C132,C133,C134,C135,C136,C137,C138,C140,C142,C143,C145,C146,C147,C148,C151,C152,C153,C156,C158,C162</t>
  </si>
  <si>
    <t>C122</t>
  </si>
  <si>
    <t>100p</t>
  </si>
  <si>
    <t>J1</t>
  </si>
  <si>
    <t>PCL</t>
  </si>
  <si>
    <t>Connector_PinHeader_2.54mm:PinHeader_1x11_P2.54mm_Vertical</t>
  </si>
  <si>
    <t>https://www.digikey.com/en/products/detail/samtec-inc/SSA-111-S-T/1105805</t>
  </si>
  <si>
    <t>J2</t>
  </si>
  <si>
    <t>PCH</t>
  </si>
  <si>
    <t>J3</t>
  </si>
  <si>
    <t>AL</t>
  </si>
  <si>
    <t>J4</t>
  </si>
  <si>
    <t>ARL</t>
  </si>
  <si>
    <t>J5</t>
  </si>
  <si>
    <t>ARH</t>
  </si>
  <si>
    <t>J6</t>
  </si>
  <si>
    <t>SP</t>
  </si>
  <si>
    <t>J7</t>
  </si>
  <si>
    <t>SP*</t>
  </si>
  <si>
    <t>J8</t>
  </si>
  <si>
    <t>A</t>
  </si>
  <si>
    <t>J9</t>
  </si>
  <si>
    <t>X</t>
  </si>
  <si>
    <t>J10</t>
  </si>
  <si>
    <t>Y</t>
  </si>
  <si>
    <t>J11</t>
  </si>
  <si>
    <t>MC-STEP</t>
  </si>
  <si>
    <t>J12</t>
  </si>
  <si>
    <t>IR</t>
  </si>
  <si>
    <t>J13</t>
  </si>
  <si>
    <t>Cond</t>
  </si>
  <si>
    <t>Connector_PinHeader_2.54mm:PinHeader_1x06_P2.54mm_Vertical</t>
  </si>
  <si>
    <t>https://www.digikey.com/en/products/detail/sullins-connector-solutions/PPTC061LFBN-RC/810145</t>
  </si>
  <si>
    <t>J14</t>
  </si>
  <si>
    <t>MCL</t>
  </si>
  <si>
    <t>J15</t>
  </si>
  <si>
    <t>ALU_H</t>
  </si>
  <si>
    <t>Connector_PinHeader_2.54mm:PinHeader_1x04_P2.54mm_Vertical</t>
  </si>
  <si>
    <t>https://www.digikey.com/en/products/detail/sullins-connector-solutions/PPTC041LFBN-RC/810144</t>
  </si>
  <si>
    <t>J16</t>
  </si>
  <si>
    <t>MCH</t>
  </si>
  <si>
    <t>J17</t>
  </si>
  <si>
    <t>ALU_A</t>
  </si>
  <si>
    <t>J18</t>
  </si>
  <si>
    <t>ALU_B</t>
  </si>
  <si>
    <t>J19</t>
  </si>
  <si>
    <t>ALU_OUT</t>
  </si>
  <si>
    <t>J20</t>
  </si>
  <si>
    <t>ALU_FLGS</t>
  </si>
  <si>
    <t>J21</t>
  </si>
  <si>
    <t>SR</t>
  </si>
  <si>
    <t>J22</t>
  </si>
  <si>
    <t>P</t>
  </si>
  <si>
    <t>J23</t>
  </si>
  <si>
    <t>ABL</t>
  </si>
  <si>
    <t>J24</t>
  </si>
  <si>
    <t>ABH</t>
  </si>
  <si>
    <t>J25</t>
  </si>
  <si>
    <t>DB</t>
  </si>
  <si>
    <t>J26</t>
  </si>
  <si>
    <t>USB_C_Power</t>
  </si>
  <si>
    <t>Connector_USB:USB_C_Receptacle_HRO_TYPE-C-31-M-17</t>
  </si>
  <si>
    <t>https://www.usb.org/sites/default/files/documents/usb_type-c.zip</t>
  </si>
  <si>
    <t>https://www.digikey.com/en/products/detail/amphenol-cs-fci/10152803-00011LF/18443705</t>
  </si>
  <si>
    <t>J27</t>
  </si>
  <si>
    <t>Expansion</t>
  </si>
  <si>
    <t>Connector_PinHeader_2.54mm:PinHeader_2x32_P2.54mm_Horizontal</t>
  </si>
  <si>
    <t>https://www.we-online.com/components/products/datasheet/6130xx243121.pdf</t>
  </si>
  <si>
    <t>https://www.digikey.com/en/products/detail/w%C3%BCrth-elektronik/613064243121/2508635</t>
  </si>
  <si>
    <t>J28</t>
  </si>
  <si>
    <t>UART</t>
  </si>
  <si>
    <t>https://www.digikey.com/en/products/detail/w%C3%BCrth-elektronik/61300611121/4846833</t>
  </si>
  <si>
    <t>JP1</t>
  </si>
  <si>
    <t>ClockSel</t>
  </si>
  <si>
    <t>Connector_PinHeader_2.54mm:PinHeader_1x03_P2.54mm_Vertical</t>
  </si>
  <si>
    <t>https://www.digikey.com/en/products/detail/w%C3%BCrth-elektronik/61300311121/4846825</t>
  </si>
  <si>
    <t>JP2</t>
  </si>
  <si>
    <t>iPHI2_ACTIVE</t>
  </si>
  <si>
    <t>Connector_PinHeader_2.54mm:PinHeader_1x02_P2.54mm_Vertical</t>
  </si>
  <si>
    <t>https://www.digikey.com/en/products/detail/amphenol-icc-commercial-products/G800W306018EU/13683144</t>
  </si>
  <si>
    <t>JP3</t>
  </si>
  <si>
    <t>PORT_EN</t>
  </si>
  <si>
    <t>JP4</t>
  </si>
  <si>
    <t>RAM_ONLY</t>
  </si>
  <si>
    <t>R1,R2,R4,R5,R6,R8,R9,R10,R11,R12,R13,R15,R16,R18,R19</t>
  </si>
  <si>
    <t>1k</t>
  </si>
  <si>
    <t>R_Axial_DIN0204_L3.6mm_D1.6mm_P7.62mm_Horizontal</t>
  </si>
  <si>
    <t>https://www.digikey.com/en/products/detail/stackpole-electronics-inc/CF14JT1K00/1741314</t>
  </si>
  <si>
    <t>R3,R17</t>
  </si>
  <si>
    <t>1M</t>
  </si>
  <si>
    <t>https://www.digikey.com/en/products/detail/stackpole-electronics-inc/CF14JT1M00/1741316</t>
  </si>
  <si>
    <t>R7</t>
  </si>
  <si>
    <t>10k</t>
  </si>
  <si>
    <t>https://www.digikey.com/en/products/detail/yageo/MFR-25FRF52-10K/14626</t>
  </si>
  <si>
    <t>R14</t>
  </si>
  <si>
    <t>2k</t>
  </si>
  <si>
    <t>https://www.digikey.com/en/products/detail/koa-speer-electronics-inc/CF1-2CT52R202J/13537299</t>
  </si>
  <si>
    <t>RN1,RN2,RN3,RN4</t>
  </si>
  <si>
    <t>8x1k</t>
  </si>
  <si>
    <t>Resistor_THT:R_Array_SIP9</t>
  </si>
  <si>
    <t>http://www.vishay.com/docs/31509/csc.pdf</t>
  </si>
  <si>
    <t>https://www.digikey.com/en/products/detail/bourns-inc/4609X-AP1-103LF/3741140</t>
  </si>
  <si>
    <t>RV1</t>
  </si>
  <si>
    <t>Potentiometer_THT:Potentiometer_ACP_CA6-H2,5_Horizontal</t>
  </si>
  <si>
    <t>https://www.bourns.com/docs/Product-Datasheets/pv37.pdf</t>
  </si>
  <si>
    <t>PV37W105C01B00 Bourns Inc. | Potentiometers, Variable Resistors | DigiKey</t>
  </si>
  <si>
    <t>SW1</t>
  </si>
  <si>
    <t>STEP</t>
  </si>
  <si>
    <t>Button_Switch_THT:SW_PUSH_6mm</t>
  </si>
  <si>
    <t>https://www.digikey.com/en/products/detail/cw-industries/GPTS203211B/3190590</t>
  </si>
  <si>
    <t>SW2</t>
  </si>
  <si>
    <t>RESET</t>
  </si>
  <si>
    <t>SW3</t>
  </si>
  <si>
    <t>SW_Rotary_SS-10-16</t>
  </si>
  <si>
    <t>Project Library:RotaryEncoder_SS_10_16NP_LE</t>
  </si>
  <si>
    <t>https://www.digikey.com/en/products/detail/nidec-components-corporation/SS-10-16NP-LE/948391</t>
  </si>
  <si>
    <t>U1,U57</t>
  </si>
  <si>
    <t>74HCT04</t>
  </si>
  <si>
    <t>Package_DIP:DIP-14_W7.62mm_Socket</t>
  </si>
  <si>
    <t>https://assets.nexperia.com/documents/data-sheet/74HC_HCT04.pdf</t>
  </si>
  <si>
    <t>https://www.digikey.com/en/products/detail/texas-instruments/SN74HCT04N/277251</t>
  </si>
  <si>
    <t>U2</t>
  </si>
  <si>
    <t>LM555</t>
  </si>
  <si>
    <t>Package_DIP:DIP-8_W7.62mm</t>
  </si>
  <si>
    <t>https://www.digikey.com/en/products/detail/texas-instruments/LM555CN-NOPB/6575</t>
  </si>
  <si>
    <t>U3</t>
  </si>
  <si>
    <t>74HCT14</t>
  </si>
  <si>
    <t>http://www.ti.com/lit/gpn/sn74HC14</t>
  </si>
  <si>
    <t>https://www.digikey.com/en/products/detail/texas-instruments/SN74HCT14N/376852</t>
  </si>
  <si>
    <t>U4,U9,U11,U12,U59,U63,U64,U77,U78,U79,U84,U89,U90,U91</t>
  </si>
  <si>
    <t>74HCT74</t>
  </si>
  <si>
    <t>https://assets.nexperia.com/documents/data-sheet/74HC_HCT74.pdf</t>
  </si>
  <si>
    <t>https://www.digikey.com/en/products/detail/texas-instruments/SN74HCT74N/277271</t>
  </si>
  <si>
    <t>U5,U83</t>
  </si>
  <si>
    <t>74HCT86</t>
  </si>
  <si>
    <t>http://www.ti.com/lit/gpn/sn74HC86</t>
  </si>
  <si>
    <t>https://www.digikey.com/en/products/detail/texas-instruments/CD74HCT86E/38774</t>
  </si>
  <si>
    <t>U6,U72</t>
  </si>
  <si>
    <t>74HCT02</t>
  </si>
  <si>
    <t>http://www.ti.com/lit/gpn/sn74hct02</t>
  </si>
  <si>
    <t>https://www.digikey.com/en/products/detail/texas-instruments/CD74HCT02E/38234</t>
  </si>
  <si>
    <t>U7,U8</t>
  </si>
  <si>
    <t>74HCT73</t>
  </si>
  <si>
    <t>http://www.ti.com/lit/gpn/sn74LS73</t>
  </si>
  <si>
    <t>https://www.digikey.com/en/products/detail/texas-instruments/CD74HCT73E/386078</t>
  </si>
  <si>
    <t>U10,U45</t>
  </si>
  <si>
    <t>74HCT11</t>
  </si>
  <si>
    <t>http://www.ti.com/lit/gpn/sn74LS11</t>
  </si>
  <si>
    <t>https://www.digikey.com/en/products/detail/texas-instruments/CD74HCT11E/38248</t>
  </si>
  <si>
    <t>U13,U15,U17,U19,U25,U27,U33,U73,U81,U100,U101</t>
  </si>
  <si>
    <t>74HCT541</t>
  </si>
  <si>
    <t>Package_DIP:DIP-20_W7.62mm_Socket</t>
  </si>
  <si>
    <t>http://www.ti.com/lit/gpn/sn74HCT541</t>
  </si>
  <si>
    <t>https://www.digikey.com/en/products/detail/texas-instruments/SN74HCT541N/277265</t>
  </si>
  <si>
    <t>U14,U16,U18,U20,U22,U24,U26,U28</t>
  </si>
  <si>
    <t>74HCT161</t>
  </si>
  <si>
    <t>Package_DIP:DIP-16_W7.62mm_Socket</t>
  </si>
  <si>
    <t>http://www.ti.com/lit/gpn/sn74LS161</t>
  </si>
  <si>
    <t>https://www.digikey.com/en/products/detail/texas-instruments/CD74HCT161E/38338</t>
  </si>
  <si>
    <t>U21,U49,U50,U52,U58,U82</t>
  </si>
  <si>
    <t>74HCT08</t>
  </si>
  <si>
    <t>http://www.ti.com/lit/gpn/sn74LS08</t>
  </si>
  <si>
    <t>https://www.digikey.com/en/products/detail/texas-instruments/CD74HCT08E/38240</t>
  </si>
  <si>
    <t>U23</t>
  </si>
  <si>
    <t>74HCT573</t>
  </si>
  <si>
    <t>74xx/74hc573.pdf</t>
  </si>
  <si>
    <t>https://www.digikey.com/en/products/detail/texas-instruments/CD74HCT573E/38717</t>
  </si>
  <si>
    <t>U29,U31,U32,U34,U36,U37,U39,U42,U65,U66,U67,U68,U95,U96</t>
  </si>
  <si>
    <t>74HCT574</t>
  </si>
  <si>
    <t>http://www.ti.com/lit/gpn/sn74HCT574</t>
  </si>
  <si>
    <t>https://www.digikey.com/en/products/detail/texas-instruments/CD74HCT574E/38721</t>
  </si>
  <si>
    <t>U30,U60,U76,U88</t>
  </si>
  <si>
    <t>74HCT32</t>
  </si>
  <si>
    <t>http://www.ti.com/lit/gpn/sn74LS32</t>
  </si>
  <si>
    <t>https://www.digikey.com/en/products/detail/texas-instruments/CD74HCT32E/38504</t>
  </si>
  <si>
    <t>U35</t>
  </si>
  <si>
    <t>74HCT245</t>
  </si>
  <si>
    <t>http://www.ti.com/lit/gpn/sn74LS245</t>
  </si>
  <si>
    <t>https://www.digikey.com/en/products/detail/texas-instruments/SN74HCT245N/277258</t>
  </si>
  <si>
    <t>U38</t>
  </si>
  <si>
    <t>74HCT193</t>
  </si>
  <si>
    <t>https://assets.nexperia.com/documents/data-sheet/74HC_HCT193.pdf</t>
  </si>
  <si>
    <t>https://www.digikey.com/en/products/detail/texas-instruments/CD74HCT193E/38398</t>
  </si>
  <si>
    <t>U40,U41,U105</t>
  </si>
  <si>
    <t>SST39SF010</t>
  </si>
  <si>
    <t>Package_DIP:DIP-32_W15.24mm_Socket</t>
  </si>
  <si>
    <t>http://ww1.microchip.com/downloads/en/DeviceDoc/25022B.pdf</t>
  </si>
  <si>
    <t>https://www.digikey.com/en/products/detail/microchip-technology/SST39SF010A-70-4C-PHE/2297826</t>
  </si>
  <si>
    <t>ROM_Code.bin,ROM_H.bin,ROM_L.bin</t>
  </si>
  <si>
    <t>U43</t>
  </si>
  <si>
    <t>GAL22V10</t>
  </si>
  <si>
    <t>Package_DIP:DIP-24_W7.62mm_Socket</t>
  </si>
  <si>
    <t>https://web.mit.edu/6.115/www/document/22v10.pdf</t>
  </si>
  <si>
    <t>https://www.digikey.com/en/products/detail/microchip-technology/ATF22V10C-15PU/1008580</t>
  </si>
  <si>
    <t>ALUdecoder.jed</t>
  </si>
  <si>
    <t>U44,U51</t>
  </si>
  <si>
    <t>74HCT21</t>
  </si>
  <si>
    <t>http://www.ti.com/lit/gpn/sn74LS21</t>
  </si>
  <si>
    <t>https://www.digikey.com/en/products/detail/texas-instruments/CD74HCT21E/386074</t>
  </si>
  <si>
    <t>U46,U47,U48,U54,U55,U56,U80</t>
  </si>
  <si>
    <t>74HCT138</t>
  </si>
  <si>
    <t>https://www.ti.com/lit/ds/symlink/sn74hct138.pdf</t>
  </si>
  <si>
    <t>https://www.digikey.com/en/products/detail/texas-instruments/SN74HCT138N/277254</t>
  </si>
  <si>
    <t>U53,U85</t>
  </si>
  <si>
    <t>74HCT00</t>
  </si>
  <si>
    <t>http://www.ti.com/lit/gpn/sn74hct00</t>
  </si>
  <si>
    <t>https://www.digikey.com/en/products/detail/texas-instruments/CD74HCT00E/38232</t>
  </si>
  <si>
    <t>U61,U71,U93</t>
  </si>
  <si>
    <t>74HCT27</t>
  </si>
  <si>
    <t>http://www.ti.com/lit/gpn/sn74LS27</t>
  </si>
  <si>
    <t>https://www.digikey.com/en/products/detail/texas-instruments/CD74HCT27E/1507771</t>
  </si>
  <si>
    <t>U62</t>
  </si>
  <si>
    <t>74HCT173</t>
  </si>
  <si>
    <t>https://www.ti.com/lit/ds/symlink/cd74hc173.pdf</t>
  </si>
  <si>
    <t>https://www.digikey.com/en/products/detail/texas-instruments/CD74HCT173E/38365</t>
  </si>
  <si>
    <t>U69,U70</t>
  </si>
  <si>
    <t>74LS181</t>
  </si>
  <si>
    <t>Package_DIP:DIP-24_W15.24mm_Socket</t>
  </si>
  <si>
    <t>74xx/74F181.pdf</t>
  </si>
  <si>
    <t>https://www.jameco.com/z/SN74LS181N-Texas-Instruments-IC-74LS181-4-Bit-Arithmetic-Logic-Unit_46973.html</t>
  </si>
  <si>
    <t>U74,U75</t>
  </si>
  <si>
    <t>74HCT153</t>
  </si>
  <si>
    <t>http://www.ti.com/lit/gpn/sn74LS153</t>
  </si>
  <si>
    <t>https://www.digikey.com/en/products/detail/texas-instruments/CD74HCT153E/38316</t>
  </si>
  <si>
    <t>U86</t>
  </si>
  <si>
    <t>74HCT10</t>
  </si>
  <si>
    <t>http://www.ti.com/lit/gpn/sn74LS10</t>
  </si>
  <si>
    <t>https://www.digikey.com/en/products/detail/rochester-electronics-llc/CD74HCT10EX/12116752</t>
  </si>
  <si>
    <t>U87,U98,U99</t>
  </si>
  <si>
    <t>74HCT125</t>
  </si>
  <si>
    <t>http://www.ti.com/lit/gpn/sn74LS125</t>
  </si>
  <si>
    <t>https://www.digikey.com/en/products/detail/texas-instruments/SN74HCT125N/376860</t>
  </si>
  <si>
    <t>U92</t>
  </si>
  <si>
    <t>74HCT151</t>
  </si>
  <si>
    <t>http://www.ti.com/lit/gpn/sn74LS151</t>
  </si>
  <si>
    <t>https://www.digikey.com/en/products/detail/texas-instruments/CD74HCT151E/38312</t>
  </si>
  <si>
    <t>U94</t>
  </si>
  <si>
    <t>74HCT30</t>
  </si>
  <si>
    <t>http://www.ti.com/lit/gpn/sn74LS30</t>
  </si>
  <si>
    <t>https://www.digikey.com/en/products/detail/texas-instruments/CD74HCT30E/38500</t>
  </si>
  <si>
    <t>U97</t>
  </si>
  <si>
    <t>74HCT139</t>
  </si>
  <si>
    <t>http://www.ti.com/lit/ds/symlink/sn74ls139a.pdf</t>
  </si>
  <si>
    <t>https://www.digikey.com/en/products/detail/texas-instruments/CD74HCT139E/38264</t>
  </si>
  <si>
    <t>U102,U104</t>
  </si>
  <si>
    <t>HM62256BLP</t>
  </si>
  <si>
    <t>Package_DIP:DIP-28_W15.24mm</t>
  </si>
  <si>
    <t>https://web.mit.edu/6.115/www/document/62256.pdf</t>
  </si>
  <si>
    <t>https://www.digikey.com/en/products/detail/alliance-memory-inc/AS6C62256-55PCN/4234592</t>
  </si>
  <si>
    <t>U103</t>
  </si>
  <si>
    <t>GAL16V8</t>
  </si>
  <si>
    <t>https://ece-classes.usc.edu/ee459/library/datasheets/16v8.pdf</t>
  </si>
  <si>
    <t>https://www.digikey.com/en/products/detail/microchip-technology/ATF16V8B-15PU/1118926</t>
  </si>
  <si>
    <t>C64MemGAL.jed</t>
  </si>
  <si>
    <t>U106</t>
  </si>
  <si>
    <t>MC6850</t>
  </si>
  <si>
    <t>http://pdf.datasheetcatalog.com/datasheet/motorola/MC6850.pdf</t>
  </si>
  <si>
    <t>https://www.jameco.com/z/6850-Major-Brands-IC-6850-Asynchronous-Communications-Interface-Adapter-24-pin-DIP_43633.html</t>
  </si>
  <si>
    <t>U107,U109,U110,U111,U112,U113</t>
  </si>
  <si>
    <t>Excluded from BOM</t>
  </si>
  <si>
    <t>U108</t>
  </si>
  <si>
    <t>Y1</t>
  </si>
  <si>
    <t>4MHz/30pF</t>
  </si>
  <si>
    <t>Crystal:Crystal_HC49-U_Horizontal</t>
  </si>
  <si>
    <t>https://www.digikey.com/en/products/detail/yic/4M20P2-49US/15648615</t>
  </si>
  <si>
    <t>Y2</t>
  </si>
  <si>
    <t>1.8432MHz/30pF</t>
  </si>
  <si>
    <t>https://www.digikey.com/en/products/detail/cts-frequency-controls/MP020S/67643</t>
  </si>
  <si>
    <t>https://www.digikey.com/en/products/detail/assmann-wsw-components/A-08-LC-TT/821740</t>
  </si>
  <si>
    <t>https://www.digikey.com/en/products/detail/on-shore-technology-inc/ED14DT/4147595</t>
  </si>
  <si>
    <t>https://www.digikey.com/en/products/detail/on-shore-technology-inc/ED16DT/4147596</t>
  </si>
  <si>
    <t>https://www.digikey.com/en/products/detail/on-shore-technology-inc/ED20DT/4147598</t>
  </si>
  <si>
    <t>https://www.digikey.com/en/products/detail/on-shore-technology-inc/ED24DT/4147601</t>
  </si>
  <si>
    <t>https://www.digikey.com/en/products/detail/on-shore-technology-inc/ED28DT/4147602</t>
  </si>
  <si>
    <t>https://www.digikey.com/en/products/detail/on-shore-technology-inc/ED32DT/4147603</t>
  </si>
  <si>
    <t>https://www.digikey.com/en/products/detail/assmann-wsw-components/A-24-LC-7-T/1628667</t>
  </si>
  <si>
    <t>https://www.digikey.com/en/products/detail/sullins-connector-solutions/PPTC111LFBN-RC/810150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</si>
</sst>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assmann-wsw-components/A-24-LC-7-T/1628667" TargetMode="External"/><Relationship Id="rId3" Type="http://schemas.openxmlformats.org/officeDocument/2006/relationships/hyperlink" Target="https://www.digikey.com/en/products/detail/on-shore-technology-inc/ED16DT/4147596" TargetMode="External"/><Relationship Id="rId7" Type="http://schemas.openxmlformats.org/officeDocument/2006/relationships/hyperlink" Target="https://www.digikey.com/en/products/detail/on-shore-technology-inc/ED32DT/414760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on-shore-technology-inc/ED14DT/4147595" TargetMode="External"/><Relationship Id="rId1" Type="http://schemas.openxmlformats.org/officeDocument/2006/relationships/hyperlink" Target="https://www.digikey.com/en/products/detail/assmann-wsw-components/A-08-LC-TT/821740" TargetMode="External"/><Relationship Id="rId6" Type="http://schemas.openxmlformats.org/officeDocument/2006/relationships/hyperlink" Target="https://www.digikey.com/en/products/detail/on-shore-technology-inc/ED28DT/4147602" TargetMode="External"/><Relationship Id="rId11" Type="http://schemas.openxmlformats.org/officeDocument/2006/relationships/hyperlink" Target="https://www.digikey.com/en/products/detail/sullins-connector-solutions/PPTC111LFBN-RC/810150" TargetMode="External"/><Relationship Id="rId5" Type="http://schemas.openxmlformats.org/officeDocument/2006/relationships/hyperlink" Target="https://www.digikey.com/en/products/detail/on-shore-technology-inc/ED24DT/4147601" TargetMode="External"/><Relationship Id="rId10" Type="http://schemas.openxmlformats.org/officeDocument/2006/relationships/hyperlink" Target="https://www.digikey.com/en/products/detail/kemet/C320C104M5R5TA/3726028" TargetMode="External"/><Relationship Id="rId4" Type="http://schemas.openxmlformats.org/officeDocument/2006/relationships/hyperlink" Target="https://www.digikey.com/en/products/detail/on-shore-technology-inc/ED20DT/4147598" TargetMode="External"/><Relationship Id="rId9" Type="http://schemas.openxmlformats.org/officeDocument/2006/relationships/hyperlink" Target="https://www.digikey.com/en/products/detail/lumimax-optoelectronic-technology/MC2-0603B103M500BF3/16735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1B9B-9919-4DB3-B648-C77C1D7DF6AB}">
  <dimension ref="A1:V95"/>
  <sheetViews>
    <sheetView tabSelected="1" topLeftCell="A58" workbookViewId="0">
      <selection activeCell="I65" sqref="I65"/>
    </sheetView>
  </sheetViews>
  <sheetFormatPr defaultRowHeight="15" x14ac:dyDescent="0.25"/>
  <cols>
    <col min="1" max="1" width="15.140625" customWidth="1"/>
    <col min="2" max="2" width="4.140625" bestFit="1" customWidth="1"/>
    <col min="3" max="3" width="19.28515625" bestFit="1" customWidth="1"/>
    <col min="4" max="4" width="4.85546875" bestFit="1" customWidth="1"/>
    <col min="5" max="5" width="18.7109375" bestFit="1" customWidth="1"/>
    <col min="6" max="6" width="18.42578125" bestFit="1" customWidth="1"/>
    <col min="7" max="7" width="36.28515625" customWidth="1"/>
    <col min="8" max="8" width="10.7109375" customWidth="1"/>
    <col min="9" max="9" width="119.85546875" bestFit="1" customWidth="1"/>
    <col min="10" max="10" width="4" customWidth="1"/>
    <col min="11" max="11" width="4.85546875" customWidth="1"/>
    <col min="12" max="12" width="0.28515625" customWidth="1"/>
    <col min="13" max="13" width="5.42578125" style="1" bestFit="1" customWidth="1"/>
    <col min="14" max="14" width="6.42578125" style="1" bestFit="1" customWidth="1"/>
    <col min="15" max="19" width="8.28515625" style="1" customWidth="1"/>
    <col min="20" max="22" width="8.28515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150</v>
      </c>
      <c r="P1" t="s">
        <v>145</v>
      </c>
      <c r="Q1" t="s">
        <v>183</v>
      </c>
      <c r="R1" t="s">
        <v>178</v>
      </c>
      <c r="S1" t="s">
        <v>218</v>
      </c>
      <c r="T1" t="s">
        <v>244</v>
      </c>
      <c r="U1" t="s">
        <v>273</v>
      </c>
      <c r="V1" t="s">
        <v>212</v>
      </c>
    </row>
    <row r="2" spans="1:22" x14ac:dyDescent="0.25">
      <c r="A2" t="s">
        <v>10</v>
      </c>
      <c r="B2">
        <v>1</v>
      </c>
      <c r="C2" t="s">
        <v>11</v>
      </c>
      <c r="G2" t="s">
        <v>12</v>
      </c>
      <c r="I2" s="3" t="s">
        <v>13</v>
      </c>
    </row>
    <row r="3" spans="1:22" x14ac:dyDescent="0.25">
      <c r="A3" t="s">
        <v>14</v>
      </c>
      <c r="B3">
        <v>4</v>
      </c>
      <c r="C3" t="s">
        <v>15</v>
      </c>
      <c r="G3" t="s">
        <v>16</v>
      </c>
      <c r="H3" t="s">
        <v>17</v>
      </c>
      <c r="I3" t="s">
        <v>18</v>
      </c>
    </row>
    <row r="4" spans="1:22" x14ac:dyDescent="0.25">
      <c r="A4" t="s">
        <v>19</v>
      </c>
      <c r="B4">
        <v>2</v>
      </c>
      <c r="C4" t="s">
        <v>20</v>
      </c>
      <c r="G4" t="s">
        <v>21</v>
      </c>
      <c r="H4" t="s">
        <v>17</v>
      </c>
      <c r="I4" t="s">
        <v>22</v>
      </c>
    </row>
    <row r="5" spans="1:22" x14ac:dyDescent="0.25">
      <c r="A5" t="s">
        <v>23</v>
      </c>
      <c r="B5">
        <v>50</v>
      </c>
      <c r="C5" t="s">
        <v>24</v>
      </c>
      <c r="G5" t="s">
        <v>25</v>
      </c>
      <c r="H5" t="s">
        <v>17</v>
      </c>
      <c r="I5" t="s">
        <v>26</v>
      </c>
    </row>
    <row r="6" spans="1:22" x14ac:dyDescent="0.25">
      <c r="A6" t="s">
        <v>27</v>
      </c>
      <c r="B6">
        <v>105</v>
      </c>
      <c r="C6" t="s">
        <v>20</v>
      </c>
      <c r="G6" t="s">
        <v>25</v>
      </c>
      <c r="H6" t="s">
        <v>17</v>
      </c>
      <c r="I6" s="3" t="s">
        <v>22</v>
      </c>
    </row>
    <row r="7" spans="1:22" x14ac:dyDescent="0.25">
      <c r="A7" t="s">
        <v>28</v>
      </c>
      <c r="B7">
        <v>1</v>
      </c>
      <c r="C7" t="s">
        <v>29</v>
      </c>
      <c r="G7" t="s">
        <v>25</v>
      </c>
      <c r="H7" t="s">
        <v>17</v>
      </c>
      <c r="I7" t="s">
        <v>22</v>
      </c>
    </row>
    <row r="8" spans="1:22" x14ac:dyDescent="0.25">
      <c r="A8" t="s">
        <v>30</v>
      </c>
      <c r="B8">
        <v>1</v>
      </c>
      <c r="C8" t="s">
        <v>31</v>
      </c>
      <c r="G8" t="s">
        <v>32</v>
      </c>
      <c r="H8" t="s">
        <v>17</v>
      </c>
      <c r="I8" s="3" t="s">
        <v>303</v>
      </c>
    </row>
    <row r="9" spans="1:22" x14ac:dyDescent="0.25">
      <c r="A9" t="s">
        <v>34</v>
      </c>
      <c r="B9">
        <v>1</v>
      </c>
      <c r="C9" t="s">
        <v>35</v>
      </c>
      <c r="G9" t="s">
        <v>32</v>
      </c>
      <c r="H9" t="s">
        <v>17</v>
      </c>
      <c r="I9" t="s">
        <v>33</v>
      </c>
    </row>
    <row r="10" spans="1:22" x14ac:dyDescent="0.25">
      <c r="A10" t="s">
        <v>36</v>
      </c>
      <c r="B10">
        <v>1</v>
      </c>
      <c r="C10" t="s">
        <v>37</v>
      </c>
      <c r="G10" t="s">
        <v>32</v>
      </c>
      <c r="H10" t="s">
        <v>17</v>
      </c>
      <c r="I10" t="s">
        <v>33</v>
      </c>
    </row>
    <row r="11" spans="1:22" x14ac:dyDescent="0.25">
      <c r="A11" t="s">
        <v>38</v>
      </c>
      <c r="B11">
        <v>1</v>
      </c>
      <c r="C11" t="s">
        <v>39</v>
      </c>
      <c r="G11" t="s">
        <v>32</v>
      </c>
      <c r="H11" t="s">
        <v>17</v>
      </c>
      <c r="I11" t="s">
        <v>33</v>
      </c>
    </row>
    <row r="12" spans="1:22" x14ac:dyDescent="0.25">
      <c r="A12" t="s">
        <v>40</v>
      </c>
      <c r="B12">
        <v>1</v>
      </c>
      <c r="C12" t="s">
        <v>41</v>
      </c>
      <c r="G12" t="s">
        <v>32</v>
      </c>
      <c r="H12" t="s">
        <v>17</v>
      </c>
      <c r="I12" t="s">
        <v>33</v>
      </c>
    </row>
    <row r="13" spans="1:22" x14ac:dyDescent="0.25">
      <c r="A13" t="s">
        <v>42</v>
      </c>
      <c r="B13">
        <v>1</v>
      </c>
      <c r="C13" t="s">
        <v>43</v>
      </c>
      <c r="G13" t="s">
        <v>32</v>
      </c>
      <c r="H13" t="s">
        <v>17</v>
      </c>
      <c r="I13" t="s">
        <v>33</v>
      </c>
    </row>
    <row r="14" spans="1:22" x14ac:dyDescent="0.25">
      <c r="A14" t="s">
        <v>44</v>
      </c>
      <c r="B14">
        <v>1</v>
      </c>
      <c r="C14" t="s">
        <v>45</v>
      </c>
      <c r="G14" t="s">
        <v>32</v>
      </c>
      <c r="H14" t="s">
        <v>17</v>
      </c>
      <c r="I14" t="s">
        <v>33</v>
      </c>
    </row>
    <row r="15" spans="1:22" x14ac:dyDescent="0.25">
      <c r="A15" t="s">
        <v>46</v>
      </c>
      <c r="B15">
        <v>1</v>
      </c>
      <c r="C15" t="s">
        <v>47</v>
      </c>
      <c r="G15" t="s">
        <v>32</v>
      </c>
      <c r="H15" t="s">
        <v>17</v>
      </c>
      <c r="I15" t="s">
        <v>33</v>
      </c>
    </row>
    <row r="16" spans="1:22" x14ac:dyDescent="0.25">
      <c r="A16" t="s">
        <v>48</v>
      </c>
      <c r="B16">
        <v>1</v>
      </c>
      <c r="C16" t="s">
        <v>49</v>
      </c>
      <c r="G16" t="s">
        <v>32</v>
      </c>
      <c r="H16" t="s">
        <v>17</v>
      </c>
      <c r="I16" t="s">
        <v>33</v>
      </c>
    </row>
    <row r="17" spans="1:9" x14ac:dyDescent="0.25">
      <c r="A17" t="s">
        <v>50</v>
      </c>
      <c r="B17">
        <v>1</v>
      </c>
      <c r="C17" t="s">
        <v>51</v>
      </c>
      <c r="G17" t="s">
        <v>32</v>
      </c>
      <c r="H17" t="s">
        <v>17</v>
      </c>
      <c r="I17" t="s">
        <v>33</v>
      </c>
    </row>
    <row r="18" spans="1:9" x14ac:dyDescent="0.25">
      <c r="A18" t="s">
        <v>52</v>
      </c>
      <c r="B18">
        <v>1</v>
      </c>
      <c r="C18" t="s">
        <v>53</v>
      </c>
      <c r="G18" t="s">
        <v>32</v>
      </c>
      <c r="H18" t="s">
        <v>17</v>
      </c>
      <c r="I18" t="s">
        <v>33</v>
      </c>
    </row>
    <row r="19" spans="1:9" x14ac:dyDescent="0.25">
      <c r="A19" t="s">
        <v>54</v>
      </c>
      <c r="B19">
        <v>1</v>
      </c>
      <c r="C19" t="s">
        <v>55</v>
      </c>
      <c r="G19" t="s">
        <v>32</v>
      </c>
      <c r="H19" t="s">
        <v>17</v>
      </c>
      <c r="I19" t="s">
        <v>33</v>
      </c>
    </row>
    <row r="20" spans="1:9" x14ac:dyDescent="0.25">
      <c r="A20" t="s">
        <v>56</v>
      </c>
      <c r="B20">
        <v>1</v>
      </c>
      <c r="C20" t="s">
        <v>57</v>
      </c>
      <c r="G20" t="s">
        <v>58</v>
      </c>
      <c r="H20" t="s">
        <v>17</v>
      </c>
      <c r="I20" t="s">
        <v>59</v>
      </c>
    </row>
    <row r="21" spans="1:9" x14ac:dyDescent="0.25">
      <c r="A21" t="s">
        <v>60</v>
      </c>
      <c r="B21">
        <v>1</v>
      </c>
      <c r="C21" t="s">
        <v>61</v>
      </c>
      <c r="G21" t="s">
        <v>32</v>
      </c>
      <c r="H21" t="s">
        <v>17</v>
      </c>
      <c r="I21" t="s">
        <v>33</v>
      </c>
    </row>
    <row r="22" spans="1:9" x14ac:dyDescent="0.25">
      <c r="A22" t="s">
        <v>62</v>
      </c>
      <c r="B22">
        <v>1</v>
      </c>
      <c r="C22" t="s">
        <v>63</v>
      </c>
      <c r="G22" t="s">
        <v>64</v>
      </c>
      <c r="H22" t="s">
        <v>17</v>
      </c>
      <c r="I22" t="s">
        <v>65</v>
      </c>
    </row>
    <row r="23" spans="1:9" x14ac:dyDescent="0.25">
      <c r="A23" t="s">
        <v>66</v>
      </c>
      <c r="B23">
        <v>1</v>
      </c>
      <c r="C23" t="s">
        <v>67</v>
      </c>
      <c r="G23" t="s">
        <v>32</v>
      </c>
      <c r="H23" t="s">
        <v>17</v>
      </c>
      <c r="I23" t="s">
        <v>33</v>
      </c>
    </row>
    <row r="24" spans="1:9" x14ac:dyDescent="0.25">
      <c r="A24" t="s">
        <v>68</v>
      </c>
      <c r="B24">
        <v>1</v>
      </c>
      <c r="C24" t="s">
        <v>69</v>
      </c>
      <c r="G24" t="s">
        <v>32</v>
      </c>
      <c r="H24" t="s">
        <v>17</v>
      </c>
      <c r="I24" t="s">
        <v>33</v>
      </c>
    </row>
    <row r="25" spans="1:9" x14ac:dyDescent="0.25">
      <c r="A25" t="s">
        <v>70</v>
      </c>
      <c r="B25">
        <v>1</v>
      </c>
      <c r="C25" t="s">
        <v>71</v>
      </c>
      <c r="G25" t="s">
        <v>32</v>
      </c>
      <c r="H25" t="s">
        <v>17</v>
      </c>
      <c r="I25" t="s">
        <v>33</v>
      </c>
    </row>
    <row r="26" spans="1:9" x14ac:dyDescent="0.25">
      <c r="A26" t="s">
        <v>72</v>
      </c>
      <c r="B26">
        <v>1</v>
      </c>
      <c r="C26" t="s">
        <v>73</v>
      </c>
      <c r="G26" t="s">
        <v>32</v>
      </c>
      <c r="H26" t="s">
        <v>17</v>
      </c>
      <c r="I26" t="s">
        <v>33</v>
      </c>
    </row>
    <row r="27" spans="1:9" x14ac:dyDescent="0.25">
      <c r="A27" t="s">
        <v>74</v>
      </c>
      <c r="B27">
        <v>1</v>
      </c>
      <c r="C27" t="s">
        <v>75</v>
      </c>
      <c r="G27" t="s">
        <v>58</v>
      </c>
      <c r="H27" t="s">
        <v>17</v>
      </c>
      <c r="I27" t="s">
        <v>59</v>
      </c>
    </row>
    <row r="28" spans="1:9" x14ac:dyDescent="0.25">
      <c r="A28" t="s">
        <v>76</v>
      </c>
      <c r="B28">
        <v>1</v>
      </c>
      <c r="C28" t="s">
        <v>77</v>
      </c>
      <c r="G28" t="s">
        <v>32</v>
      </c>
      <c r="H28" t="s">
        <v>17</v>
      </c>
      <c r="I28" t="s">
        <v>33</v>
      </c>
    </row>
    <row r="29" spans="1:9" x14ac:dyDescent="0.25">
      <c r="A29" t="s">
        <v>78</v>
      </c>
      <c r="B29">
        <v>1</v>
      </c>
      <c r="C29" t="s">
        <v>79</v>
      </c>
      <c r="G29" t="s">
        <v>32</v>
      </c>
      <c r="H29" t="s">
        <v>17</v>
      </c>
      <c r="I29" t="s">
        <v>33</v>
      </c>
    </row>
    <row r="30" spans="1:9" x14ac:dyDescent="0.25">
      <c r="A30" t="s">
        <v>80</v>
      </c>
      <c r="B30">
        <v>1</v>
      </c>
      <c r="C30" t="s">
        <v>81</v>
      </c>
      <c r="G30" t="s">
        <v>32</v>
      </c>
      <c r="H30" t="s">
        <v>17</v>
      </c>
      <c r="I30" t="s">
        <v>33</v>
      </c>
    </row>
    <row r="31" spans="1:9" x14ac:dyDescent="0.25">
      <c r="A31" t="s">
        <v>82</v>
      </c>
      <c r="B31">
        <v>1</v>
      </c>
      <c r="C31" t="s">
        <v>83</v>
      </c>
      <c r="G31" t="s">
        <v>32</v>
      </c>
      <c r="H31" t="s">
        <v>17</v>
      </c>
      <c r="I31" t="s">
        <v>33</v>
      </c>
    </row>
    <row r="32" spans="1:9" x14ac:dyDescent="0.25">
      <c r="A32" t="s">
        <v>84</v>
      </c>
      <c r="B32">
        <v>1</v>
      </c>
      <c r="C32" t="s">
        <v>85</v>
      </c>
      <c r="G32" t="s">
        <v>32</v>
      </c>
      <c r="H32" t="s">
        <v>17</v>
      </c>
      <c r="I32" t="s">
        <v>33</v>
      </c>
    </row>
    <row r="33" spans="1:19" x14ac:dyDescent="0.25">
      <c r="A33" t="s">
        <v>86</v>
      </c>
      <c r="B33">
        <v>1</v>
      </c>
      <c r="C33" t="s">
        <v>87</v>
      </c>
      <c r="G33" t="s">
        <v>88</v>
      </c>
      <c r="H33" t="s">
        <v>89</v>
      </c>
      <c r="I33" t="s">
        <v>90</v>
      </c>
    </row>
    <row r="34" spans="1:19" x14ac:dyDescent="0.25">
      <c r="A34" t="s">
        <v>91</v>
      </c>
      <c r="B34">
        <v>1</v>
      </c>
      <c r="C34" t="s">
        <v>92</v>
      </c>
      <c r="G34" t="s">
        <v>93</v>
      </c>
      <c r="H34" t="s">
        <v>94</v>
      </c>
      <c r="I34" t="s">
        <v>95</v>
      </c>
    </row>
    <row r="35" spans="1:19" x14ac:dyDescent="0.25">
      <c r="A35" t="s">
        <v>96</v>
      </c>
      <c r="B35">
        <v>1</v>
      </c>
      <c r="C35" t="s">
        <v>97</v>
      </c>
      <c r="G35" t="s">
        <v>58</v>
      </c>
      <c r="H35" t="s">
        <v>17</v>
      </c>
      <c r="I35" t="s">
        <v>98</v>
      </c>
    </row>
    <row r="36" spans="1:19" x14ac:dyDescent="0.25">
      <c r="A36" t="s">
        <v>99</v>
      </c>
      <c r="B36">
        <v>1</v>
      </c>
      <c r="C36" t="s">
        <v>100</v>
      </c>
      <c r="G36" t="s">
        <v>101</v>
      </c>
      <c r="H36" t="s">
        <v>17</v>
      </c>
      <c r="I36" t="s">
        <v>102</v>
      </c>
    </row>
    <row r="37" spans="1:19" x14ac:dyDescent="0.25">
      <c r="A37" t="s">
        <v>103</v>
      </c>
      <c r="B37">
        <v>1</v>
      </c>
      <c r="C37" t="s">
        <v>104</v>
      </c>
      <c r="G37" t="s">
        <v>105</v>
      </c>
      <c r="H37" t="s">
        <v>17</v>
      </c>
      <c r="I37" t="s">
        <v>106</v>
      </c>
    </row>
    <row r="38" spans="1:19" x14ac:dyDescent="0.25">
      <c r="A38" t="s">
        <v>107</v>
      </c>
      <c r="B38">
        <v>1</v>
      </c>
      <c r="C38" t="s">
        <v>108</v>
      </c>
      <c r="G38" t="s">
        <v>105</v>
      </c>
      <c r="H38" t="s">
        <v>17</v>
      </c>
      <c r="I38" t="s">
        <v>106</v>
      </c>
    </row>
    <row r="39" spans="1:19" x14ac:dyDescent="0.25">
      <c r="A39" t="s">
        <v>109</v>
      </c>
      <c r="B39">
        <v>1</v>
      </c>
      <c r="C39" t="s">
        <v>110</v>
      </c>
      <c r="G39" t="s">
        <v>105</v>
      </c>
      <c r="H39" t="s">
        <v>17</v>
      </c>
      <c r="I39" t="s">
        <v>106</v>
      </c>
    </row>
    <row r="40" spans="1:19" x14ac:dyDescent="0.25">
      <c r="A40" t="s">
        <v>111</v>
      </c>
      <c r="B40">
        <v>15</v>
      </c>
      <c r="C40" t="s">
        <v>112</v>
      </c>
      <c r="G40" t="s">
        <v>113</v>
      </c>
      <c r="H40" t="s">
        <v>17</v>
      </c>
      <c r="I40" t="s">
        <v>114</v>
      </c>
    </row>
    <row r="41" spans="1:19" x14ac:dyDescent="0.25">
      <c r="A41" t="s">
        <v>115</v>
      </c>
      <c r="B41">
        <v>2</v>
      </c>
      <c r="C41" t="s">
        <v>116</v>
      </c>
      <c r="G41" t="s">
        <v>113</v>
      </c>
      <c r="H41" t="s">
        <v>17</v>
      </c>
      <c r="I41" t="s">
        <v>117</v>
      </c>
    </row>
    <row r="42" spans="1:19" x14ac:dyDescent="0.25">
      <c r="A42" t="s">
        <v>118</v>
      </c>
      <c r="B42">
        <v>1</v>
      </c>
      <c r="C42" t="s">
        <v>119</v>
      </c>
      <c r="G42" t="s">
        <v>113</v>
      </c>
      <c r="H42" t="s">
        <v>17</v>
      </c>
      <c r="I42" t="s">
        <v>120</v>
      </c>
    </row>
    <row r="43" spans="1:19" x14ac:dyDescent="0.25">
      <c r="A43" t="s">
        <v>121</v>
      </c>
      <c r="B43">
        <v>1</v>
      </c>
      <c r="C43" t="s">
        <v>122</v>
      </c>
      <c r="G43" t="s">
        <v>113</v>
      </c>
      <c r="H43" t="s">
        <v>17</v>
      </c>
      <c r="I43" t="s">
        <v>123</v>
      </c>
    </row>
    <row r="44" spans="1:19" x14ac:dyDescent="0.25">
      <c r="A44" t="s">
        <v>124</v>
      </c>
      <c r="B44">
        <v>4</v>
      </c>
      <c r="C44" t="s">
        <v>125</v>
      </c>
      <c r="G44" t="s">
        <v>126</v>
      </c>
      <c r="H44" t="s">
        <v>127</v>
      </c>
      <c r="I44" t="s">
        <v>128</v>
      </c>
    </row>
    <row r="45" spans="1:19" x14ac:dyDescent="0.25">
      <c r="A45" t="s">
        <v>129</v>
      </c>
      <c r="B45">
        <v>1</v>
      </c>
      <c r="C45" t="s">
        <v>116</v>
      </c>
      <c r="G45" t="s">
        <v>130</v>
      </c>
      <c r="H45" t="s">
        <v>131</v>
      </c>
      <c r="I45" t="s">
        <v>132</v>
      </c>
    </row>
    <row r="46" spans="1:19" x14ac:dyDescent="0.25">
      <c r="A46" t="s">
        <v>133</v>
      </c>
      <c r="B46">
        <v>1</v>
      </c>
      <c r="C46" t="s">
        <v>134</v>
      </c>
      <c r="G46" t="s">
        <v>135</v>
      </c>
      <c r="H46" t="s">
        <v>17</v>
      </c>
      <c r="I46" t="s">
        <v>136</v>
      </c>
      <c r="M46" s="2"/>
      <c r="N46" s="2"/>
      <c r="O46" s="2"/>
      <c r="P46" s="2"/>
      <c r="Q46" s="2"/>
      <c r="R46" s="2"/>
      <c r="S46" s="2"/>
    </row>
    <row r="47" spans="1:19" x14ac:dyDescent="0.25">
      <c r="A47" t="s">
        <v>137</v>
      </c>
      <c r="B47">
        <v>1</v>
      </c>
      <c r="C47" t="s">
        <v>138</v>
      </c>
      <c r="G47" t="s">
        <v>135</v>
      </c>
      <c r="H47" t="s">
        <v>17</v>
      </c>
      <c r="I47" t="s">
        <v>136</v>
      </c>
    </row>
    <row r="48" spans="1:19" x14ac:dyDescent="0.25">
      <c r="A48" t="s">
        <v>139</v>
      </c>
      <c r="B48">
        <v>1</v>
      </c>
      <c r="C48" t="s">
        <v>140</v>
      </c>
      <c r="G48" t="s">
        <v>141</v>
      </c>
      <c r="H48" t="s">
        <v>17</v>
      </c>
      <c r="I48" t="s">
        <v>142</v>
      </c>
      <c r="M48" s="2"/>
      <c r="N48" s="2"/>
      <c r="O48" s="2"/>
      <c r="P48" s="2"/>
      <c r="Q48" s="2"/>
      <c r="R48" s="2"/>
      <c r="S48" s="2"/>
    </row>
    <row r="49" spans="1:22" x14ac:dyDescent="0.25">
      <c r="A49" t="s">
        <v>143</v>
      </c>
      <c r="B49">
        <v>2</v>
      </c>
      <c r="C49" t="s">
        <v>144</v>
      </c>
      <c r="G49" t="s">
        <v>145</v>
      </c>
      <c r="H49" t="s">
        <v>146</v>
      </c>
      <c r="I49" t="s">
        <v>147</v>
      </c>
      <c r="O49" s="1" t="str">
        <f>IF($G49=O$1,$B49,"")</f>
        <v/>
      </c>
      <c r="P49" s="1">
        <f t="shared" ref="P49:V64" si="0">IF($G49=P$1,$B49,"")</f>
        <v>2</v>
      </c>
      <c r="Q49" s="1" t="str">
        <f t="shared" si="0"/>
        <v/>
      </c>
      <c r="R49" s="1" t="str">
        <f t="shared" si="0"/>
        <v/>
      </c>
      <c r="S49" s="1" t="str">
        <f t="shared" si="0"/>
        <v/>
      </c>
      <c r="T49" s="1" t="str">
        <f t="shared" si="0"/>
        <v/>
      </c>
      <c r="U49" s="1" t="str">
        <f t="shared" si="0"/>
        <v/>
      </c>
      <c r="V49" s="1" t="str">
        <f t="shared" si="0"/>
        <v/>
      </c>
    </row>
    <row r="50" spans="1:22" x14ac:dyDescent="0.25">
      <c r="A50" t="s">
        <v>148</v>
      </c>
      <c r="B50">
        <v>1</v>
      </c>
      <c r="C50" t="s">
        <v>149</v>
      </c>
      <c r="G50" t="s">
        <v>150</v>
      </c>
      <c r="I50" t="s">
        <v>151</v>
      </c>
      <c r="O50" s="1">
        <f t="shared" ref="O50:V83" si="1">IF($G50=O$1,$B50,"")</f>
        <v>1</v>
      </c>
      <c r="P50" s="1" t="str">
        <f t="shared" si="0"/>
        <v/>
      </c>
      <c r="Q50" s="1" t="str">
        <f t="shared" si="0"/>
        <v/>
      </c>
      <c r="R50" s="1" t="str">
        <f t="shared" si="0"/>
        <v/>
      </c>
      <c r="S50" s="1" t="str">
        <f t="shared" si="0"/>
        <v/>
      </c>
      <c r="T50" s="1" t="str">
        <f t="shared" si="0"/>
        <v/>
      </c>
      <c r="U50" s="1" t="str">
        <f t="shared" si="0"/>
        <v/>
      </c>
      <c r="V50" s="1" t="str">
        <f t="shared" si="0"/>
        <v/>
      </c>
    </row>
    <row r="51" spans="1:22" x14ac:dyDescent="0.25">
      <c r="A51" t="s">
        <v>152</v>
      </c>
      <c r="B51">
        <v>1</v>
      </c>
      <c r="C51" t="s">
        <v>153</v>
      </c>
      <c r="G51" t="s">
        <v>145</v>
      </c>
      <c r="H51" t="s">
        <v>154</v>
      </c>
      <c r="I51" t="s">
        <v>155</v>
      </c>
      <c r="O51" s="1" t="str">
        <f t="shared" si="1"/>
        <v/>
      </c>
      <c r="P51" s="1">
        <f t="shared" si="0"/>
        <v>1</v>
      </c>
      <c r="Q51" s="1" t="str">
        <f t="shared" si="0"/>
        <v/>
      </c>
      <c r="R51" s="1" t="str">
        <f t="shared" si="0"/>
        <v/>
      </c>
      <c r="S51" s="1" t="str">
        <f t="shared" si="0"/>
        <v/>
      </c>
      <c r="T51" s="1" t="str">
        <f t="shared" si="0"/>
        <v/>
      </c>
      <c r="U51" s="1" t="str">
        <f t="shared" si="0"/>
        <v/>
      </c>
      <c r="V51" s="1" t="str">
        <f t="shared" si="0"/>
        <v/>
      </c>
    </row>
    <row r="52" spans="1:22" x14ac:dyDescent="0.25">
      <c r="A52" t="s">
        <v>156</v>
      </c>
      <c r="B52">
        <v>14</v>
      </c>
      <c r="C52" t="s">
        <v>157</v>
      </c>
      <c r="G52" t="s">
        <v>145</v>
      </c>
      <c r="H52" t="s">
        <v>158</v>
      </c>
      <c r="I52" t="s">
        <v>159</v>
      </c>
      <c r="O52" s="1" t="str">
        <f t="shared" si="1"/>
        <v/>
      </c>
      <c r="P52" s="1">
        <f t="shared" si="0"/>
        <v>14</v>
      </c>
      <c r="Q52" s="1" t="str">
        <f t="shared" si="0"/>
        <v/>
      </c>
      <c r="R52" s="1" t="str">
        <f t="shared" si="0"/>
        <v/>
      </c>
      <c r="S52" s="1" t="str">
        <f t="shared" si="0"/>
        <v/>
      </c>
      <c r="T52" s="1" t="str">
        <f t="shared" si="0"/>
        <v/>
      </c>
      <c r="U52" s="1" t="str">
        <f t="shared" si="0"/>
        <v/>
      </c>
      <c r="V52" s="1" t="str">
        <f t="shared" si="0"/>
        <v/>
      </c>
    </row>
    <row r="53" spans="1:22" x14ac:dyDescent="0.25">
      <c r="A53" t="s">
        <v>160</v>
      </c>
      <c r="B53">
        <v>2</v>
      </c>
      <c r="C53" t="s">
        <v>161</v>
      </c>
      <c r="G53" t="s">
        <v>145</v>
      </c>
      <c r="H53" t="s">
        <v>162</v>
      </c>
      <c r="I53" t="s">
        <v>163</v>
      </c>
      <c r="O53" s="1" t="str">
        <f t="shared" si="1"/>
        <v/>
      </c>
      <c r="P53" s="1">
        <f t="shared" si="0"/>
        <v>2</v>
      </c>
      <c r="Q53" s="1" t="str">
        <f t="shared" si="0"/>
        <v/>
      </c>
      <c r="R53" s="1" t="str">
        <f t="shared" si="0"/>
        <v/>
      </c>
      <c r="S53" s="1" t="str">
        <f t="shared" si="0"/>
        <v/>
      </c>
      <c r="T53" s="1" t="str">
        <f t="shared" si="0"/>
        <v/>
      </c>
      <c r="U53" s="1" t="str">
        <f t="shared" si="0"/>
        <v/>
      </c>
      <c r="V53" s="1" t="str">
        <f t="shared" si="0"/>
        <v/>
      </c>
    </row>
    <row r="54" spans="1:22" x14ac:dyDescent="0.25">
      <c r="A54" t="s">
        <v>164</v>
      </c>
      <c r="B54">
        <v>2</v>
      </c>
      <c r="C54" t="s">
        <v>165</v>
      </c>
      <c r="G54" t="s">
        <v>145</v>
      </c>
      <c r="H54" t="s">
        <v>166</v>
      </c>
      <c r="I54" t="s">
        <v>167</v>
      </c>
      <c r="O54" s="1" t="str">
        <f t="shared" si="1"/>
        <v/>
      </c>
      <c r="P54" s="1">
        <f t="shared" si="0"/>
        <v>2</v>
      </c>
      <c r="Q54" s="1" t="str">
        <f t="shared" si="0"/>
        <v/>
      </c>
      <c r="R54" s="1" t="str">
        <f t="shared" si="0"/>
        <v/>
      </c>
      <c r="S54" s="1" t="str">
        <f t="shared" si="0"/>
        <v/>
      </c>
      <c r="T54" s="1" t="str">
        <f t="shared" si="0"/>
        <v/>
      </c>
      <c r="U54" s="1" t="str">
        <f t="shared" si="0"/>
        <v/>
      </c>
      <c r="V54" s="1" t="str">
        <f t="shared" si="0"/>
        <v/>
      </c>
    </row>
    <row r="55" spans="1:22" x14ac:dyDescent="0.25">
      <c r="A55" t="s">
        <v>168</v>
      </c>
      <c r="B55">
        <v>2</v>
      </c>
      <c r="C55" t="s">
        <v>169</v>
      </c>
      <c r="G55" t="s">
        <v>145</v>
      </c>
      <c r="H55" t="s">
        <v>170</v>
      </c>
      <c r="I55" t="s">
        <v>171</v>
      </c>
      <c r="O55" s="1" t="str">
        <f t="shared" si="1"/>
        <v/>
      </c>
      <c r="P55" s="1">
        <f t="shared" si="0"/>
        <v>2</v>
      </c>
      <c r="Q55" s="1" t="str">
        <f t="shared" si="0"/>
        <v/>
      </c>
      <c r="R55" s="1" t="str">
        <f t="shared" si="0"/>
        <v/>
      </c>
      <c r="S55" s="1" t="str">
        <f t="shared" si="0"/>
        <v/>
      </c>
      <c r="T55" s="1" t="str">
        <f t="shared" si="0"/>
        <v/>
      </c>
      <c r="U55" s="1" t="str">
        <f t="shared" si="0"/>
        <v/>
      </c>
      <c r="V55" s="1" t="str">
        <f t="shared" si="0"/>
        <v/>
      </c>
    </row>
    <row r="56" spans="1:22" x14ac:dyDescent="0.25">
      <c r="A56" t="s">
        <v>172</v>
      </c>
      <c r="B56">
        <v>2</v>
      </c>
      <c r="C56" t="s">
        <v>173</v>
      </c>
      <c r="G56" t="s">
        <v>145</v>
      </c>
      <c r="H56" t="s">
        <v>174</v>
      </c>
      <c r="I56" t="s">
        <v>175</v>
      </c>
      <c r="O56" s="1" t="str">
        <f t="shared" si="1"/>
        <v/>
      </c>
      <c r="P56" s="1">
        <f t="shared" si="0"/>
        <v>2</v>
      </c>
      <c r="Q56" s="1" t="str">
        <f t="shared" si="0"/>
        <v/>
      </c>
      <c r="R56" s="1" t="str">
        <f t="shared" si="0"/>
        <v/>
      </c>
      <c r="S56" s="1" t="str">
        <f t="shared" si="0"/>
        <v/>
      </c>
      <c r="T56" s="1" t="str">
        <f t="shared" si="0"/>
        <v/>
      </c>
      <c r="U56" s="1" t="str">
        <f t="shared" si="0"/>
        <v/>
      </c>
      <c r="V56" s="1" t="str">
        <f t="shared" si="0"/>
        <v/>
      </c>
    </row>
    <row r="57" spans="1:22" x14ac:dyDescent="0.25">
      <c r="A57" t="s">
        <v>176</v>
      </c>
      <c r="B57">
        <v>11</v>
      </c>
      <c r="C57" t="s">
        <v>177</v>
      </c>
      <c r="G57" t="s">
        <v>178</v>
      </c>
      <c r="H57" t="s">
        <v>179</v>
      </c>
      <c r="I57" t="s">
        <v>180</v>
      </c>
      <c r="O57" s="1" t="str">
        <f t="shared" si="1"/>
        <v/>
      </c>
      <c r="P57" s="1" t="str">
        <f t="shared" si="0"/>
        <v/>
      </c>
      <c r="Q57" s="1" t="str">
        <f t="shared" si="0"/>
        <v/>
      </c>
      <c r="R57" s="1">
        <f t="shared" si="0"/>
        <v>11</v>
      </c>
      <c r="S57" s="1" t="str">
        <f t="shared" si="0"/>
        <v/>
      </c>
      <c r="T57" s="1" t="str">
        <f t="shared" si="0"/>
        <v/>
      </c>
      <c r="U57" s="1" t="str">
        <f t="shared" si="0"/>
        <v/>
      </c>
      <c r="V57" s="1" t="str">
        <f t="shared" si="0"/>
        <v/>
      </c>
    </row>
    <row r="58" spans="1:22" x14ac:dyDescent="0.25">
      <c r="A58" t="s">
        <v>181</v>
      </c>
      <c r="B58">
        <v>8</v>
      </c>
      <c r="C58" t="s">
        <v>182</v>
      </c>
      <c r="G58" t="s">
        <v>183</v>
      </c>
      <c r="H58" t="s">
        <v>184</v>
      </c>
      <c r="I58" t="s">
        <v>185</v>
      </c>
      <c r="O58" s="1" t="str">
        <f t="shared" si="1"/>
        <v/>
      </c>
      <c r="P58" s="1" t="str">
        <f t="shared" si="0"/>
        <v/>
      </c>
      <c r="Q58" s="1">
        <f t="shared" si="0"/>
        <v>8</v>
      </c>
      <c r="R58" s="1" t="str">
        <f t="shared" si="0"/>
        <v/>
      </c>
      <c r="S58" s="1" t="str">
        <f t="shared" si="0"/>
        <v/>
      </c>
      <c r="T58" s="1" t="str">
        <f t="shared" si="0"/>
        <v/>
      </c>
      <c r="U58" s="1" t="str">
        <f t="shared" si="0"/>
        <v/>
      </c>
      <c r="V58" s="1" t="str">
        <f t="shared" si="0"/>
        <v/>
      </c>
    </row>
    <row r="59" spans="1:22" x14ac:dyDescent="0.25">
      <c r="A59" t="s">
        <v>186</v>
      </c>
      <c r="B59">
        <v>6</v>
      </c>
      <c r="C59" t="s">
        <v>187</v>
      </c>
      <c r="G59" t="s">
        <v>145</v>
      </c>
      <c r="H59" t="s">
        <v>188</v>
      </c>
      <c r="I59" t="s">
        <v>189</v>
      </c>
      <c r="O59" s="1" t="str">
        <f t="shared" si="1"/>
        <v/>
      </c>
      <c r="P59" s="1">
        <f t="shared" si="0"/>
        <v>6</v>
      </c>
      <c r="Q59" s="1" t="str">
        <f t="shared" si="0"/>
        <v/>
      </c>
      <c r="R59" s="1" t="str">
        <f t="shared" si="0"/>
        <v/>
      </c>
      <c r="S59" s="1" t="str">
        <f t="shared" si="0"/>
        <v/>
      </c>
      <c r="T59" s="1" t="str">
        <f t="shared" si="0"/>
        <v/>
      </c>
      <c r="U59" s="1" t="str">
        <f t="shared" si="0"/>
        <v/>
      </c>
      <c r="V59" s="1" t="str">
        <f t="shared" si="0"/>
        <v/>
      </c>
    </row>
    <row r="60" spans="1:22" x14ac:dyDescent="0.25">
      <c r="A60" t="s">
        <v>190</v>
      </c>
      <c r="B60">
        <v>1</v>
      </c>
      <c r="C60" t="s">
        <v>191</v>
      </c>
      <c r="G60" t="s">
        <v>178</v>
      </c>
      <c r="H60" t="s">
        <v>192</v>
      </c>
      <c r="I60" t="s">
        <v>193</v>
      </c>
      <c r="O60" s="1" t="str">
        <f t="shared" si="1"/>
        <v/>
      </c>
      <c r="P60" s="1" t="str">
        <f t="shared" si="0"/>
        <v/>
      </c>
      <c r="Q60" s="1" t="str">
        <f t="shared" si="0"/>
        <v/>
      </c>
      <c r="R60" s="1">
        <f t="shared" si="0"/>
        <v>1</v>
      </c>
      <c r="S60" s="1" t="str">
        <f t="shared" si="0"/>
        <v/>
      </c>
      <c r="T60" s="1" t="str">
        <f t="shared" si="0"/>
        <v/>
      </c>
      <c r="U60" s="1" t="str">
        <f t="shared" si="0"/>
        <v/>
      </c>
      <c r="V60" s="1" t="str">
        <f t="shared" si="0"/>
        <v/>
      </c>
    </row>
    <row r="61" spans="1:22" x14ac:dyDescent="0.25">
      <c r="A61" t="s">
        <v>194</v>
      </c>
      <c r="B61">
        <v>14</v>
      </c>
      <c r="C61" t="s">
        <v>195</v>
      </c>
      <c r="G61" t="s">
        <v>178</v>
      </c>
      <c r="H61" t="s">
        <v>196</v>
      </c>
      <c r="I61" t="s">
        <v>197</v>
      </c>
      <c r="O61" s="1" t="str">
        <f t="shared" si="1"/>
        <v/>
      </c>
      <c r="P61" s="1" t="str">
        <f t="shared" si="0"/>
        <v/>
      </c>
      <c r="Q61" s="1" t="str">
        <f t="shared" si="0"/>
        <v/>
      </c>
      <c r="R61" s="1">
        <f t="shared" si="0"/>
        <v>14</v>
      </c>
      <c r="S61" s="1" t="str">
        <f t="shared" si="0"/>
        <v/>
      </c>
      <c r="T61" s="1" t="str">
        <f t="shared" si="0"/>
        <v/>
      </c>
      <c r="U61" s="1" t="str">
        <f t="shared" si="0"/>
        <v/>
      </c>
      <c r="V61" s="1" t="str">
        <f t="shared" si="0"/>
        <v/>
      </c>
    </row>
    <row r="62" spans="1:22" x14ac:dyDescent="0.25">
      <c r="A62" t="s">
        <v>198</v>
      </c>
      <c r="B62">
        <v>4</v>
      </c>
      <c r="C62" t="s">
        <v>199</v>
      </c>
      <c r="G62" t="s">
        <v>145</v>
      </c>
      <c r="H62" t="s">
        <v>200</v>
      </c>
      <c r="I62" t="s">
        <v>201</v>
      </c>
      <c r="O62" s="1" t="str">
        <f t="shared" si="1"/>
        <v/>
      </c>
      <c r="P62" s="1">
        <f t="shared" si="0"/>
        <v>4</v>
      </c>
      <c r="Q62" s="1" t="str">
        <f t="shared" si="0"/>
        <v/>
      </c>
      <c r="R62" s="1" t="str">
        <f t="shared" si="0"/>
        <v/>
      </c>
      <c r="S62" s="1" t="str">
        <f t="shared" si="0"/>
        <v/>
      </c>
      <c r="T62" s="1" t="str">
        <f t="shared" si="0"/>
        <v/>
      </c>
      <c r="U62" s="1" t="str">
        <f t="shared" si="0"/>
        <v/>
      </c>
      <c r="V62" s="1" t="str">
        <f t="shared" si="0"/>
        <v/>
      </c>
    </row>
    <row r="63" spans="1:22" x14ac:dyDescent="0.25">
      <c r="A63" t="s">
        <v>202</v>
      </c>
      <c r="B63">
        <v>1</v>
      </c>
      <c r="C63" t="s">
        <v>203</v>
      </c>
      <c r="G63" t="s">
        <v>178</v>
      </c>
      <c r="H63" t="s">
        <v>204</v>
      </c>
      <c r="I63" t="s">
        <v>205</v>
      </c>
      <c r="O63" s="1" t="str">
        <f t="shared" si="1"/>
        <v/>
      </c>
      <c r="P63" s="1" t="str">
        <f t="shared" si="0"/>
        <v/>
      </c>
      <c r="Q63" s="1" t="str">
        <f t="shared" si="0"/>
        <v/>
      </c>
      <c r="R63" s="1">
        <f t="shared" si="0"/>
        <v>1</v>
      </c>
      <c r="S63" s="1" t="str">
        <f t="shared" si="0"/>
        <v/>
      </c>
      <c r="T63" s="1" t="str">
        <f t="shared" si="0"/>
        <v/>
      </c>
      <c r="U63" s="1" t="str">
        <f t="shared" si="0"/>
        <v/>
      </c>
      <c r="V63" s="1" t="str">
        <f t="shared" si="0"/>
        <v/>
      </c>
    </row>
    <row r="64" spans="1:22" x14ac:dyDescent="0.25">
      <c r="A64" t="s">
        <v>206</v>
      </c>
      <c r="B64">
        <v>1</v>
      </c>
      <c r="C64" t="s">
        <v>207</v>
      </c>
      <c r="G64" t="s">
        <v>183</v>
      </c>
      <c r="H64" t="s">
        <v>208</v>
      </c>
      <c r="I64" t="s">
        <v>209</v>
      </c>
      <c r="O64" s="1" t="str">
        <f t="shared" si="1"/>
        <v/>
      </c>
      <c r="P64" s="1" t="str">
        <f t="shared" si="0"/>
        <v/>
      </c>
      <c r="Q64" s="1">
        <f t="shared" si="0"/>
        <v>1</v>
      </c>
      <c r="R64" s="1" t="str">
        <f t="shared" si="0"/>
        <v/>
      </c>
      <c r="S64" s="1" t="str">
        <f t="shared" si="0"/>
        <v/>
      </c>
      <c r="T64" s="1" t="str">
        <f t="shared" si="0"/>
        <v/>
      </c>
      <c r="U64" s="1" t="str">
        <f t="shared" si="0"/>
        <v/>
      </c>
      <c r="V64" s="1" t="str">
        <f t="shared" si="0"/>
        <v/>
      </c>
    </row>
    <row r="65" spans="1:22" x14ac:dyDescent="0.25">
      <c r="A65" t="s">
        <v>210</v>
      </c>
      <c r="B65">
        <v>3</v>
      </c>
      <c r="C65" t="s">
        <v>211</v>
      </c>
      <c r="G65" t="s">
        <v>212</v>
      </c>
      <c r="H65" t="s">
        <v>213</v>
      </c>
      <c r="I65" t="s">
        <v>214</v>
      </c>
      <c r="J65" t="s">
        <v>215</v>
      </c>
      <c r="O65" s="1" t="str">
        <f t="shared" si="1"/>
        <v/>
      </c>
      <c r="P65" s="1" t="str">
        <f t="shared" si="1"/>
        <v/>
      </c>
      <c r="Q65" s="1" t="str">
        <f t="shared" si="1"/>
        <v/>
      </c>
      <c r="R65" s="1" t="str">
        <f t="shared" si="1"/>
        <v/>
      </c>
      <c r="S65" s="1" t="str">
        <f t="shared" si="1"/>
        <v/>
      </c>
      <c r="T65" s="1" t="str">
        <f t="shared" si="1"/>
        <v/>
      </c>
      <c r="U65" s="1" t="str">
        <f t="shared" si="1"/>
        <v/>
      </c>
      <c r="V65" s="1">
        <f t="shared" si="1"/>
        <v>3</v>
      </c>
    </row>
    <row r="66" spans="1:22" x14ac:dyDescent="0.25">
      <c r="A66" t="s">
        <v>216</v>
      </c>
      <c r="B66">
        <v>1</v>
      </c>
      <c r="C66" t="s">
        <v>217</v>
      </c>
      <c r="G66" t="s">
        <v>218</v>
      </c>
      <c r="H66" t="s">
        <v>219</v>
      </c>
      <c r="I66" t="s">
        <v>220</v>
      </c>
      <c r="J66" t="s">
        <v>221</v>
      </c>
      <c r="O66" s="1" t="str">
        <f t="shared" si="1"/>
        <v/>
      </c>
      <c r="P66" s="1" t="str">
        <f t="shared" si="1"/>
        <v/>
      </c>
      <c r="Q66" s="1" t="str">
        <f t="shared" si="1"/>
        <v/>
      </c>
      <c r="R66" s="1" t="str">
        <f t="shared" si="1"/>
        <v/>
      </c>
      <c r="S66" s="1">
        <f t="shared" si="1"/>
        <v>1</v>
      </c>
      <c r="T66" s="1" t="str">
        <f t="shared" si="1"/>
        <v/>
      </c>
      <c r="U66" s="1" t="str">
        <f t="shared" si="1"/>
        <v/>
      </c>
      <c r="V66" s="1" t="str">
        <f t="shared" si="1"/>
        <v/>
      </c>
    </row>
    <row r="67" spans="1:22" x14ac:dyDescent="0.25">
      <c r="A67" t="s">
        <v>222</v>
      </c>
      <c r="B67">
        <v>2</v>
      </c>
      <c r="C67" t="s">
        <v>223</v>
      </c>
      <c r="G67" t="s">
        <v>145</v>
      </c>
      <c r="H67" t="s">
        <v>224</v>
      </c>
      <c r="I67" t="s">
        <v>225</v>
      </c>
      <c r="O67" s="1" t="str">
        <f t="shared" si="1"/>
        <v/>
      </c>
      <c r="P67" s="1">
        <f t="shared" si="1"/>
        <v>2</v>
      </c>
      <c r="Q67" s="1" t="str">
        <f t="shared" si="1"/>
        <v/>
      </c>
      <c r="R67" s="1" t="str">
        <f t="shared" si="1"/>
        <v/>
      </c>
      <c r="S67" s="1" t="str">
        <f t="shared" si="1"/>
        <v/>
      </c>
      <c r="T67" s="1" t="str">
        <f t="shared" si="1"/>
        <v/>
      </c>
      <c r="U67" s="1" t="str">
        <f t="shared" si="1"/>
        <v/>
      </c>
      <c r="V67" s="1" t="str">
        <f t="shared" si="1"/>
        <v/>
      </c>
    </row>
    <row r="68" spans="1:22" x14ac:dyDescent="0.25">
      <c r="A68" t="s">
        <v>226</v>
      </c>
      <c r="B68">
        <v>7</v>
      </c>
      <c r="C68" t="s">
        <v>227</v>
      </c>
      <c r="G68" t="s">
        <v>183</v>
      </c>
      <c r="H68" t="s">
        <v>228</v>
      </c>
      <c r="I68" t="s">
        <v>229</v>
      </c>
      <c r="O68" s="1" t="str">
        <f t="shared" si="1"/>
        <v/>
      </c>
      <c r="P68" s="1" t="str">
        <f t="shared" si="1"/>
        <v/>
      </c>
      <c r="Q68" s="1">
        <f t="shared" si="1"/>
        <v>7</v>
      </c>
      <c r="R68" s="1" t="str">
        <f t="shared" si="1"/>
        <v/>
      </c>
      <c r="S68" s="1" t="str">
        <f t="shared" si="1"/>
        <v/>
      </c>
      <c r="T68" s="1" t="str">
        <f t="shared" si="1"/>
        <v/>
      </c>
      <c r="U68" s="1" t="str">
        <f t="shared" si="1"/>
        <v/>
      </c>
      <c r="V68" s="1" t="str">
        <f t="shared" si="1"/>
        <v/>
      </c>
    </row>
    <row r="69" spans="1:22" x14ac:dyDescent="0.25">
      <c r="A69" t="s">
        <v>230</v>
      </c>
      <c r="B69">
        <v>2</v>
      </c>
      <c r="C69" t="s">
        <v>231</v>
      </c>
      <c r="G69" t="s">
        <v>145</v>
      </c>
      <c r="H69" t="s">
        <v>232</v>
      </c>
      <c r="I69" t="s">
        <v>233</v>
      </c>
      <c r="O69" s="1" t="str">
        <f t="shared" si="1"/>
        <v/>
      </c>
      <c r="P69" s="1">
        <f t="shared" si="1"/>
        <v>2</v>
      </c>
      <c r="Q69" s="1" t="str">
        <f t="shared" si="1"/>
        <v/>
      </c>
      <c r="R69" s="1" t="str">
        <f t="shared" si="1"/>
        <v/>
      </c>
      <c r="S69" s="1" t="str">
        <f t="shared" si="1"/>
        <v/>
      </c>
      <c r="T69" s="1" t="str">
        <f t="shared" si="1"/>
        <v/>
      </c>
      <c r="U69" s="1" t="str">
        <f t="shared" si="1"/>
        <v/>
      </c>
      <c r="V69" s="1" t="str">
        <f t="shared" si="1"/>
        <v/>
      </c>
    </row>
    <row r="70" spans="1:22" x14ac:dyDescent="0.25">
      <c r="A70" t="s">
        <v>234</v>
      </c>
      <c r="B70">
        <v>3</v>
      </c>
      <c r="C70" t="s">
        <v>235</v>
      </c>
      <c r="G70" t="s">
        <v>145</v>
      </c>
      <c r="H70" t="s">
        <v>236</v>
      </c>
      <c r="I70" t="s">
        <v>237</v>
      </c>
      <c r="O70" s="1" t="str">
        <f t="shared" si="1"/>
        <v/>
      </c>
      <c r="P70" s="1">
        <f t="shared" si="1"/>
        <v>3</v>
      </c>
      <c r="Q70" s="1" t="str">
        <f t="shared" si="1"/>
        <v/>
      </c>
      <c r="R70" s="1" t="str">
        <f t="shared" si="1"/>
        <v/>
      </c>
      <c r="S70" s="1" t="str">
        <f t="shared" si="1"/>
        <v/>
      </c>
      <c r="T70" s="1" t="str">
        <f t="shared" si="1"/>
        <v/>
      </c>
      <c r="U70" s="1" t="str">
        <f t="shared" si="1"/>
        <v/>
      </c>
      <c r="V70" s="1" t="str">
        <f t="shared" si="1"/>
        <v/>
      </c>
    </row>
    <row r="71" spans="1:22" x14ac:dyDescent="0.25">
      <c r="A71" t="s">
        <v>238</v>
      </c>
      <c r="B71">
        <v>1</v>
      </c>
      <c r="C71" t="s">
        <v>239</v>
      </c>
      <c r="G71" t="s">
        <v>183</v>
      </c>
      <c r="H71" t="s">
        <v>240</v>
      </c>
      <c r="I71" t="s">
        <v>241</v>
      </c>
      <c r="O71" s="1" t="str">
        <f t="shared" si="1"/>
        <v/>
      </c>
      <c r="P71" s="1" t="str">
        <f t="shared" si="1"/>
        <v/>
      </c>
      <c r="Q71" s="1">
        <f t="shared" si="1"/>
        <v>1</v>
      </c>
      <c r="R71" s="1" t="str">
        <f t="shared" si="1"/>
        <v/>
      </c>
      <c r="S71" s="1" t="str">
        <f t="shared" si="1"/>
        <v/>
      </c>
      <c r="T71" s="1" t="str">
        <f t="shared" si="1"/>
        <v/>
      </c>
      <c r="U71" s="1" t="str">
        <f t="shared" si="1"/>
        <v/>
      </c>
      <c r="V71" s="1" t="str">
        <f t="shared" si="1"/>
        <v/>
      </c>
    </row>
    <row r="72" spans="1:22" x14ac:dyDescent="0.25">
      <c r="A72" t="s">
        <v>242</v>
      </c>
      <c r="B72">
        <v>2</v>
      </c>
      <c r="C72" t="s">
        <v>243</v>
      </c>
      <c r="G72" t="s">
        <v>244</v>
      </c>
      <c r="H72" t="s">
        <v>245</v>
      </c>
      <c r="I72" t="s">
        <v>246</v>
      </c>
      <c r="O72" s="1" t="str">
        <f t="shared" si="1"/>
        <v/>
      </c>
      <c r="P72" s="1" t="str">
        <f t="shared" si="1"/>
        <v/>
      </c>
      <c r="Q72" s="1" t="str">
        <f t="shared" si="1"/>
        <v/>
      </c>
      <c r="R72" s="1" t="str">
        <f t="shared" si="1"/>
        <v/>
      </c>
      <c r="S72" s="1" t="str">
        <f t="shared" si="1"/>
        <v/>
      </c>
      <c r="T72" s="1">
        <f t="shared" si="1"/>
        <v>2</v>
      </c>
      <c r="U72" s="1" t="str">
        <f t="shared" si="1"/>
        <v/>
      </c>
      <c r="V72" s="1" t="str">
        <f t="shared" si="1"/>
        <v/>
      </c>
    </row>
    <row r="73" spans="1:22" x14ac:dyDescent="0.25">
      <c r="A73" t="s">
        <v>247</v>
      </c>
      <c r="B73">
        <v>2</v>
      </c>
      <c r="C73" t="s">
        <v>248</v>
      </c>
      <c r="G73" t="s">
        <v>183</v>
      </c>
      <c r="H73" t="s">
        <v>249</v>
      </c>
      <c r="I73" t="s">
        <v>250</v>
      </c>
      <c r="O73" s="1" t="str">
        <f t="shared" si="1"/>
        <v/>
      </c>
      <c r="P73" s="1" t="str">
        <f t="shared" si="1"/>
        <v/>
      </c>
      <c r="Q73" s="1">
        <f t="shared" si="1"/>
        <v>2</v>
      </c>
      <c r="R73" s="1" t="str">
        <f t="shared" si="1"/>
        <v/>
      </c>
      <c r="S73" s="1" t="str">
        <f t="shared" si="1"/>
        <v/>
      </c>
      <c r="T73" s="1" t="str">
        <f t="shared" si="1"/>
        <v/>
      </c>
      <c r="U73" s="1" t="str">
        <f t="shared" si="1"/>
        <v/>
      </c>
      <c r="V73" s="1" t="str">
        <f t="shared" si="1"/>
        <v/>
      </c>
    </row>
    <row r="74" spans="1:22" x14ac:dyDescent="0.25">
      <c r="A74" t="s">
        <v>251</v>
      </c>
      <c r="B74">
        <v>1</v>
      </c>
      <c r="C74" t="s">
        <v>252</v>
      </c>
      <c r="G74" t="s">
        <v>145</v>
      </c>
      <c r="H74" t="s">
        <v>253</v>
      </c>
      <c r="I74" t="s">
        <v>254</v>
      </c>
      <c r="O74" s="1" t="str">
        <f t="shared" si="1"/>
        <v/>
      </c>
      <c r="P74" s="1">
        <f t="shared" si="1"/>
        <v>1</v>
      </c>
      <c r="Q74" s="1" t="str">
        <f t="shared" si="1"/>
        <v/>
      </c>
      <c r="R74" s="1" t="str">
        <f t="shared" si="1"/>
        <v/>
      </c>
      <c r="S74" s="1" t="str">
        <f t="shared" si="1"/>
        <v/>
      </c>
      <c r="T74" s="1" t="str">
        <f t="shared" si="1"/>
        <v/>
      </c>
      <c r="U74" s="1" t="str">
        <f t="shared" si="1"/>
        <v/>
      </c>
      <c r="V74" s="1" t="str">
        <f t="shared" si="1"/>
        <v/>
      </c>
    </row>
    <row r="75" spans="1:22" x14ac:dyDescent="0.25">
      <c r="A75" t="s">
        <v>255</v>
      </c>
      <c r="B75">
        <v>3</v>
      </c>
      <c r="C75" t="s">
        <v>256</v>
      </c>
      <c r="G75" t="s">
        <v>145</v>
      </c>
      <c r="H75" t="s">
        <v>257</v>
      </c>
      <c r="I75" t="s">
        <v>258</v>
      </c>
      <c r="O75" s="1" t="str">
        <f t="shared" si="1"/>
        <v/>
      </c>
      <c r="P75" s="1">
        <f t="shared" si="1"/>
        <v>3</v>
      </c>
      <c r="Q75" s="1" t="str">
        <f t="shared" si="1"/>
        <v/>
      </c>
      <c r="R75" s="1" t="str">
        <f t="shared" si="1"/>
        <v/>
      </c>
      <c r="S75" s="1" t="str">
        <f t="shared" si="1"/>
        <v/>
      </c>
      <c r="T75" s="1" t="str">
        <f t="shared" si="1"/>
        <v/>
      </c>
      <c r="U75" s="1" t="str">
        <f t="shared" si="1"/>
        <v/>
      </c>
      <c r="V75" s="1" t="str">
        <f t="shared" si="1"/>
        <v/>
      </c>
    </row>
    <row r="76" spans="1:22" x14ac:dyDescent="0.25">
      <c r="A76" t="s">
        <v>259</v>
      </c>
      <c r="B76">
        <v>1</v>
      </c>
      <c r="C76" t="s">
        <v>260</v>
      </c>
      <c r="G76" t="s">
        <v>183</v>
      </c>
      <c r="H76" t="s">
        <v>261</v>
      </c>
      <c r="I76" t="s">
        <v>262</v>
      </c>
      <c r="O76" s="1" t="str">
        <f t="shared" si="1"/>
        <v/>
      </c>
      <c r="P76" s="1" t="str">
        <f t="shared" si="1"/>
        <v/>
      </c>
      <c r="Q76" s="1">
        <f t="shared" si="1"/>
        <v>1</v>
      </c>
      <c r="R76" s="1" t="str">
        <f t="shared" si="1"/>
        <v/>
      </c>
      <c r="S76" s="1" t="str">
        <f t="shared" si="1"/>
        <v/>
      </c>
      <c r="T76" s="1" t="str">
        <f t="shared" si="1"/>
        <v/>
      </c>
      <c r="U76" s="1" t="str">
        <f t="shared" si="1"/>
        <v/>
      </c>
      <c r="V76" s="1" t="str">
        <f t="shared" si="1"/>
        <v/>
      </c>
    </row>
    <row r="77" spans="1:22" x14ac:dyDescent="0.25">
      <c r="A77" t="s">
        <v>263</v>
      </c>
      <c r="B77">
        <v>1</v>
      </c>
      <c r="C77" t="s">
        <v>264</v>
      </c>
      <c r="G77" t="s">
        <v>145</v>
      </c>
      <c r="H77" t="s">
        <v>265</v>
      </c>
      <c r="I77" t="s">
        <v>266</v>
      </c>
      <c r="O77" s="1" t="str">
        <f t="shared" si="1"/>
        <v/>
      </c>
      <c r="P77" s="1">
        <f t="shared" si="1"/>
        <v>1</v>
      </c>
      <c r="Q77" s="1" t="str">
        <f t="shared" si="1"/>
        <v/>
      </c>
      <c r="R77" s="1" t="str">
        <f t="shared" si="1"/>
        <v/>
      </c>
      <c r="S77" s="1" t="str">
        <f t="shared" si="1"/>
        <v/>
      </c>
      <c r="T77" s="1" t="str">
        <f t="shared" si="1"/>
        <v/>
      </c>
      <c r="U77" s="1" t="str">
        <f t="shared" si="1"/>
        <v/>
      </c>
      <c r="V77" s="1" t="str">
        <f t="shared" si="1"/>
        <v/>
      </c>
    </row>
    <row r="78" spans="1:22" x14ac:dyDescent="0.25">
      <c r="A78" t="s">
        <v>267</v>
      </c>
      <c r="B78">
        <v>1</v>
      </c>
      <c r="C78" t="s">
        <v>268</v>
      </c>
      <c r="G78" t="s">
        <v>183</v>
      </c>
      <c r="H78" t="s">
        <v>269</v>
      </c>
      <c r="I78" t="s">
        <v>270</v>
      </c>
      <c r="O78" s="1" t="str">
        <f t="shared" si="1"/>
        <v/>
      </c>
      <c r="P78" s="1" t="str">
        <f t="shared" si="1"/>
        <v/>
      </c>
      <c r="Q78" s="1">
        <f t="shared" si="1"/>
        <v>1</v>
      </c>
      <c r="R78" s="1" t="str">
        <f t="shared" si="1"/>
        <v/>
      </c>
      <c r="S78" s="1" t="str">
        <f t="shared" si="1"/>
        <v/>
      </c>
      <c r="T78" s="1" t="str">
        <f t="shared" si="1"/>
        <v/>
      </c>
      <c r="U78" s="1" t="str">
        <f t="shared" si="1"/>
        <v/>
      </c>
      <c r="V78" s="1" t="str">
        <f t="shared" si="1"/>
        <v/>
      </c>
    </row>
    <row r="79" spans="1:22" x14ac:dyDescent="0.25">
      <c r="A79" t="s">
        <v>271</v>
      </c>
      <c r="B79">
        <v>2</v>
      </c>
      <c r="C79" t="s">
        <v>272</v>
      </c>
      <c r="G79" t="s">
        <v>273</v>
      </c>
      <c r="H79" t="s">
        <v>274</v>
      </c>
      <c r="I79" t="s">
        <v>275</v>
      </c>
      <c r="O79" s="1" t="str">
        <f t="shared" si="1"/>
        <v/>
      </c>
      <c r="P79" s="1" t="str">
        <f t="shared" si="1"/>
        <v/>
      </c>
      <c r="Q79" s="1" t="str">
        <f t="shared" si="1"/>
        <v/>
      </c>
      <c r="R79" s="1" t="str">
        <f t="shared" si="1"/>
        <v/>
      </c>
      <c r="S79" s="1" t="str">
        <f t="shared" si="1"/>
        <v/>
      </c>
      <c r="T79" s="1" t="str">
        <f t="shared" si="1"/>
        <v/>
      </c>
      <c r="U79" s="1">
        <f t="shared" si="1"/>
        <v>2</v>
      </c>
      <c r="V79" s="1" t="str">
        <f t="shared" si="1"/>
        <v/>
      </c>
    </row>
    <row r="80" spans="1:22" x14ac:dyDescent="0.25">
      <c r="A80" t="s">
        <v>276</v>
      </c>
      <c r="B80">
        <v>1</v>
      </c>
      <c r="C80" t="s">
        <v>277</v>
      </c>
      <c r="G80" t="s">
        <v>178</v>
      </c>
      <c r="H80" t="s">
        <v>278</v>
      </c>
      <c r="I80" t="s">
        <v>279</v>
      </c>
      <c r="J80" t="s">
        <v>280</v>
      </c>
      <c r="O80" s="1" t="str">
        <f t="shared" si="1"/>
        <v/>
      </c>
      <c r="P80" s="1" t="str">
        <f t="shared" si="1"/>
        <v/>
      </c>
      <c r="Q80" s="1" t="str">
        <f t="shared" si="1"/>
        <v/>
      </c>
      <c r="R80" s="1">
        <f t="shared" si="1"/>
        <v>1</v>
      </c>
      <c r="S80" s="1" t="str">
        <f t="shared" si="1"/>
        <v/>
      </c>
      <c r="T80" s="1" t="str">
        <f t="shared" si="1"/>
        <v/>
      </c>
      <c r="U80" s="1" t="str">
        <f t="shared" si="1"/>
        <v/>
      </c>
      <c r="V80" s="1" t="str">
        <f t="shared" si="1"/>
        <v/>
      </c>
    </row>
    <row r="81" spans="1:22" x14ac:dyDescent="0.25">
      <c r="A81" t="s">
        <v>281</v>
      </c>
      <c r="B81">
        <v>1</v>
      </c>
      <c r="C81" t="s">
        <v>282</v>
      </c>
      <c r="G81" t="s">
        <v>244</v>
      </c>
      <c r="H81" t="s">
        <v>283</v>
      </c>
      <c r="I81" t="s">
        <v>284</v>
      </c>
      <c r="O81" s="1" t="str">
        <f t="shared" si="1"/>
        <v/>
      </c>
      <c r="P81" s="1" t="str">
        <f t="shared" si="1"/>
        <v/>
      </c>
      <c r="Q81" s="1" t="str">
        <f t="shared" si="1"/>
        <v/>
      </c>
      <c r="R81" s="1" t="str">
        <f t="shared" si="1"/>
        <v/>
      </c>
      <c r="S81" s="1" t="str">
        <f t="shared" si="1"/>
        <v/>
      </c>
      <c r="T81" s="1">
        <f t="shared" si="1"/>
        <v>1</v>
      </c>
      <c r="U81" s="1" t="str">
        <f t="shared" si="1"/>
        <v/>
      </c>
      <c r="V81" s="1" t="str">
        <f t="shared" si="1"/>
        <v/>
      </c>
    </row>
    <row r="82" spans="1:22" x14ac:dyDescent="0.25">
      <c r="A82" t="s">
        <v>285</v>
      </c>
      <c r="B82">
        <v>6</v>
      </c>
      <c r="C82" t="s">
        <v>195</v>
      </c>
      <c r="E82" t="s">
        <v>286</v>
      </c>
      <c r="G82" t="s">
        <v>178</v>
      </c>
      <c r="H82" t="s">
        <v>196</v>
      </c>
      <c r="I82" t="s">
        <v>197</v>
      </c>
      <c r="O82" s="1" t="str">
        <f t="shared" si="1"/>
        <v/>
      </c>
      <c r="P82" s="1" t="str">
        <f t="shared" si="1"/>
        <v/>
      </c>
      <c r="Q82" s="1" t="str">
        <f t="shared" si="1"/>
        <v/>
      </c>
      <c r="R82" s="1">
        <f t="shared" si="1"/>
        <v>6</v>
      </c>
      <c r="S82" s="1" t="str">
        <f t="shared" si="1"/>
        <v/>
      </c>
      <c r="T82" s="1" t="str">
        <f t="shared" si="1"/>
        <v/>
      </c>
      <c r="U82" s="1" t="str">
        <f t="shared" si="1"/>
        <v/>
      </c>
      <c r="V82" s="1" t="str">
        <f t="shared" si="1"/>
        <v/>
      </c>
    </row>
    <row r="83" spans="1:22" x14ac:dyDescent="0.25">
      <c r="A83" t="s">
        <v>287</v>
      </c>
      <c r="B83">
        <v>1</v>
      </c>
      <c r="C83" t="s">
        <v>177</v>
      </c>
      <c r="E83" t="s">
        <v>286</v>
      </c>
      <c r="G83" t="s">
        <v>178</v>
      </c>
      <c r="H83" t="s">
        <v>179</v>
      </c>
      <c r="I83" t="s">
        <v>180</v>
      </c>
      <c r="O83" s="1" t="str">
        <f t="shared" si="1"/>
        <v/>
      </c>
      <c r="P83" s="1" t="str">
        <f t="shared" si="1"/>
        <v/>
      </c>
      <c r="Q83" s="1" t="str">
        <f t="shared" si="1"/>
        <v/>
      </c>
      <c r="R83" s="1">
        <f t="shared" si="1"/>
        <v>1</v>
      </c>
      <c r="S83" s="1" t="str">
        <f t="shared" si="1"/>
        <v/>
      </c>
      <c r="T83" s="1" t="str">
        <f t="shared" si="1"/>
        <v/>
      </c>
      <c r="U83" s="1" t="str">
        <f t="shared" si="1"/>
        <v/>
      </c>
      <c r="V83" s="1" t="str">
        <f t="shared" si="1"/>
        <v/>
      </c>
    </row>
    <row r="84" spans="1:22" x14ac:dyDescent="0.25">
      <c r="A84" t="s">
        <v>288</v>
      </c>
      <c r="B84">
        <v>1</v>
      </c>
      <c r="C84" t="s">
        <v>289</v>
      </c>
      <c r="G84" t="s">
        <v>290</v>
      </c>
      <c r="H84" t="s">
        <v>17</v>
      </c>
      <c r="I84" t="s">
        <v>291</v>
      </c>
    </row>
    <row r="85" spans="1:22" x14ac:dyDescent="0.25">
      <c r="A85" t="s">
        <v>292</v>
      </c>
      <c r="B85">
        <v>1</v>
      </c>
      <c r="C85" t="s">
        <v>293</v>
      </c>
      <c r="G85" t="s">
        <v>290</v>
      </c>
      <c r="H85" t="s">
        <v>17</v>
      </c>
      <c r="I85" t="s">
        <v>294</v>
      </c>
    </row>
    <row r="88" spans="1:22" x14ac:dyDescent="0.25">
      <c r="B88">
        <f>SUM(O1:O85)</f>
        <v>1</v>
      </c>
      <c r="C88" t="s">
        <v>150</v>
      </c>
      <c r="I88" s="3" t="s">
        <v>295</v>
      </c>
    </row>
    <row r="89" spans="1:22" x14ac:dyDescent="0.25">
      <c r="B89">
        <f>SUM(P1:P85)</f>
        <v>47</v>
      </c>
      <c r="C89" t="s">
        <v>145</v>
      </c>
      <c r="I89" s="3" t="s">
        <v>296</v>
      </c>
    </row>
    <row r="90" spans="1:22" x14ac:dyDescent="0.25">
      <c r="B90">
        <f>SUM(Q1:Q85)</f>
        <v>21</v>
      </c>
      <c r="C90" t="s">
        <v>183</v>
      </c>
      <c r="I90" s="3" t="s">
        <v>297</v>
      </c>
    </row>
    <row r="91" spans="1:22" x14ac:dyDescent="0.25">
      <c r="B91">
        <f>SUM(R1:R85)</f>
        <v>35</v>
      </c>
      <c r="C91" t="s">
        <v>178</v>
      </c>
      <c r="I91" s="3" t="s">
        <v>298</v>
      </c>
    </row>
    <row r="92" spans="1:22" x14ac:dyDescent="0.25">
      <c r="B92">
        <f>SUM(S1:S85)</f>
        <v>1</v>
      </c>
      <c r="C92" t="s">
        <v>218</v>
      </c>
      <c r="I92" s="3" t="s">
        <v>302</v>
      </c>
    </row>
    <row r="93" spans="1:22" x14ac:dyDescent="0.25">
      <c r="B93">
        <f>SUM(T1:T85)</f>
        <v>3</v>
      </c>
      <c r="C93" t="s">
        <v>244</v>
      </c>
      <c r="I93" s="3" t="s">
        <v>299</v>
      </c>
    </row>
    <row r="94" spans="1:22" x14ac:dyDescent="0.25">
      <c r="B94">
        <f>SUM(U1:U85)</f>
        <v>2</v>
      </c>
      <c r="C94" t="s">
        <v>273</v>
      </c>
      <c r="I94" s="3" t="s">
        <v>300</v>
      </c>
    </row>
    <row r="95" spans="1:22" x14ac:dyDescent="0.25">
      <c r="B95">
        <f>SUM(V1:V85)</f>
        <v>3</v>
      </c>
      <c r="C95" t="s">
        <v>212</v>
      </c>
      <c r="I95" s="3" t="s">
        <v>301</v>
      </c>
    </row>
  </sheetData>
  <hyperlinks>
    <hyperlink ref="I88" r:id="rId1" xr:uid="{B7DC6C40-CE3F-422F-B40A-F8378DD6AFD9}"/>
    <hyperlink ref="I89" r:id="rId2" xr:uid="{036DCD99-89DB-4CF6-9693-9CBD72691639}"/>
    <hyperlink ref="I90" r:id="rId3" xr:uid="{B3034A8A-E2D4-48AE-9F09-4EB8FA4C3CF2}"/>
    <hyperlink ref="I91" r:id="rId4" xr:uid="{06299992-C513-4737-B5F6-5CA56A36A029}"/>
    <hyperlink ref="I93" r:id="rId5" xr:uid="{B671D9D2-DC3E-41A3-8AD1-9F3BC202EF2B}"/>
    <hyperlink ref="I94" r:id="rId6" xr:uid="{C0F4AB0B-F70A-4612-A447-6F4903B4BA20}"/>
    <hyperlink ref="I95" r:id="rId7" xr:uid="{4C7DC2EE-33E8-425F-AFF9-6A4F5734DC70}"/>
    <hyperlink ref="I92" r:id="rId8" xr:uid="{E412A3BE-BA3F-4932-9C24-D72AF15084DD}"/>
    <hyperlink ref="I2" r:id="rId9" xr:uid="{85473FCE-1797-40E5-95CC-FE448163D308}"/>
    <hyperlink ref="I6" r:id="rId10" xr:uid="{CDE472E1-0D3F-4AFB-AE53-15823FF8FC0E}"/>
    <hyperlink ref="I8" r:id="rId11" xr:uid="{D6AFDF39-2557-42F1-B5B6-FDC0DBE87E96}"/>
  </hyperlinks>
  <pageMargins left="0.7" right="0.7" top="0.75" bottom="0.75" header="0.3" footer="0.3"/>
  <pageSetup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 6510 Computer_BOM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Warnke</dc:creator>
  <cp:lastModifiedBy>Stefan Warnke</cp:lastModifiedBy>
  <dcterms:created xsi:type="dcterms:W3CDTF">2025-11-14T02:52:37Z</dcterms:created>
  <dcterms:modified xsi:type="dcterms:W3CDTF">2026-02-05T21:35:26Z</dcterms:modified>
</cp:coreProperties>
</file>